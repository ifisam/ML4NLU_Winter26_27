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mc:AlternateContent xmlns:mc="http://schemas.openxmlformats.org/markup-compatibility/2006">
    <mc:Choice Requires="x15">
      <x15ac:absPath xmlns:x15ac="http://schemas.microsoft.com/office/spreadsheetml/2010/11/ac" url="/Users/achimrettinger/Documents/work/lehre/2024-25-ws/Master-ML4NLU/"/>
    </mc:Choice>
  </mc:AlternateContent>
  <xr:revisionPtr revIDLastSave="0" documentId="8_{46360793-E6B3-BF4B-80B0-B05811909B61}" xr6:coauthVersionLast="47" xr6:coauthVersionMax="47" xr10:uidLastSave="{00000000-0000-0000-0000-000000000000}"/>
  <bookViews>
    <workbookView xWindow="2800" yWindow="740" windowWidth="21120" windowHeight="16640" xr2:uid="{00000000-000D-0000-FFFF-FFFF00000000}"/>
  </bookViews>
  <sheets>
    <sheet name="small" sheetId="1" r:id="rId1"/>
    <sheet name="medium" sheetId="3" r:id="rId2"/>
    <sheet name="large" sheetId="6" r:id="rId3"/>
    <sheet name="LICENSE" sheetId="7" r:id="rId4"/>
  </sheets>
  <externalReferences>
    <externalReference r:id="rId5"/>
  </externalReferences>
  <definedNames>
    <definedName name="_alpha1">'[1]ReLU vs. LeakyReLU'!$H$5</definedName>
    <definedName name="_alpha2">'[1]ReLU vs. LeakyReLU'!#REF!</definedName>
    <definedName name="width">#REF!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24" i="6" l="1" a="1"/>
  <c r="AE24" i="6" s="1"/>
  <c r="AE32" i="6" s="1"/>
  <c r="AH15" i="6" s="1"/>
  <c r="AE19" i="6"/>
  <c r="AE18" i="6"/>
  <c r="AE17" i="6"/>
  <c r="AE16" i="6"/>
  <c r="AE15" i="6"/>
  <c r="AE14" i="6"/>
  <c r="AE26" i="6" s="1" a="1"/>
  <c r="AE26" i="6" s="1"/>
  <c r="AE34" i="6" s="1"/>
  <c r="AH17" i="6" s="1"/>
  <c r="S28" i="6" a="1"/>
  <c r="S28" i="6" s="1"/>
  <c r="S36" i="6" s="1"/>
  <c r="V19" i="6" s="1"/>
  <c r="S27" i="6" a="1"/>
  <c r="S27" i="6" s="1"/>
  <c r="S35" i="6" s="1"/>
  <c r="V18" i="6" s="1"/>
  <c r="S26" i="6" a="1"/>
  <c r="S26" i="6" s="1"/>
  <c r="S34" i="6" s="1"/>
  <c r="V17" i="6" s="1"/>
  <c r="S25" i="6" a="1"/>
  <c r="S25" i="6" s="1"/>
  <c r="S33" i="6" s="1"/>
  <c r="V16" i="6" s="1"/>
  <c r="S24" i="6" a="1"/>
  <c r="S24" i="6" s="1"/>
  <c r="S32" i="6" s="1"/>
  <c r="V15" i="6" s="1"/>
  <c r="S23" i="6" a="1"/>
  <c r="S23" i="6" s="1"/>
  <c r="S31" i="6" s="1"/>
  <c r="O24" i="3" a="1"/>
  <c r="O24" i="3" s="1"/>
  <c r="O32" i="3" s="1"/>
  <c r="R15" i="3" s="1"/>
  <c r="O23" i="3" a="1"/>
  <c r="O23" i="3" s="1"/>
  <c r="O31" i="3" s="1"/>
  <c r="R14" i="3" s="1"/>
  <c r="O22" i="3" a="1"/>
  <c r="O22" i="3" s="1"/>
  <c r="O30" i="3" s="1"/>
  <c r="R13" i="3" s="1"/>
  <c r="O21" i="3" a="1"/>
  <c r="O21" i="3" s="1"/>
  <c r="O29" i="3" s="1"/>
  <c r="R12" i="3" s="1"/>
  <c r="O20" i="3" a="1"/>
  <c r="O20" i="3" s="1"/>
  <c r="O28" i="3" s="1"/>
  <c r="R11" i="3" s="1"/>
  <c r="O19" i="3" a="1"/>
  <c r="O19" i="3" s="1"/>
  <c r="O27" i="3" s="1"/>
  <c r="L16" i="1" a="1"/>
  <c r="L16" i="1" s="1"/>
  <c r="L21" i="1" s="1"/>
  <c r="O10" i="1" s="1"/>
  <c r="L18" i="1" a="1"/>
  <c r="L18" i="1" s="1"/>
  <c r="L23" i="1" s="1"/>
  <c r="O12" i="1" s="1"/>
  <c r="L17" i="1" a="1"/>
  <c r="L17" i="1" s="1"/>
  <c r="L22" i="1" s="1"/>
  <c r="O11" i="1" s="1"/>
  <c r="AE28" i="6" l="1" a="1"/>
  <c r="AE28" i="6" s="1"/>
  <c r="AE36" i="6" s="1"/>
  <c r="AH19" i="6" s="1"/>
  <c r="AE25" i="6" a="1"/>
  <c r="AE25" i="6" s="1"/>
  <c r="AE33" i="6" s="1"/>
  <c r="AH16" i="6" s="1"/>
  <c r="AE23" i="6" a="1"/>
  <c r="AE23" i="6" s="1"/>
  <c r="AE31" i="6" s="1"/>
  <c r="AH14" i="6" s="1"/>
  <c r="AE27" i="6" a="1"/>
  <c r="AE27" i="6" s="1"/>
  <c r="AE35" i="6" s="1"/>
  <c r="AH18" i="6" s="1"/>
  <c r="S46" i="6" a="1"/>
  <c r="S46" i="6" s="1"/>
  <c r="S57" i="6" s="1"/>
  <c r="S47" i="6" a="1"/>
  <c r="S47" i="6" s="1"/>
  <c r="S58" i="6" s="1"/>
  <c r="S42" i="6" a="1"/>
  <c r="S42" i="6" s="1"/>
  <c r="S53" i="6" s="1"/>
  <c r="S43" i="6" a="1"/>
  <c r="S43" i="6" s="1"/>
  <c r="S54" i="6" s="1"/>
  <c r="S41" i="6" a="1"/>
  <c r="S41" i="6" s="1"/>
  <c r="S52" i="6" s="1"/>
  <c r="S44" i="6" a="1"/>
  <c r="S44" i="6" s="1"/>
  <c r="S55" i="6" s="1"/>
  <c r="S45" i="6" a="1"/>
  <c r="S45" i="6" s="1"/>
  <c r="S56" i="6" s="1"/>
  <c r="V14" i="6"/>
  <c r="S40" i="6" a="1"/>
  <c r="S40" i="6" s="1"/>
  <c r="S51" i="6" s="1"/>
  <c r="S49" i="6" a="1"/>
  <c r="S49" i="6" s="1"/>
  <c r="S60" i="6" s="1"/>
  <c r="S48" i="6" a="1"/>
  <c r="S48" i="6" s="1"/>
  <c r="S59" i="6" s="1"/>
  <c r="O36" i="3" a="1"/>
  <c r="O36" i="3" s="1"/>
  <c r="O40" i="3" s="1"/>
  <c r="O37" i="3" a="1"/>
  <c r="O37" i="3" s="1"/>
  <c r="O41" i="3" s="1"/>
  <c r="O38" i="3" a="1"/>
  <c r="O38" i="3" s="1"/>
  <c r="O42" i="3" s="1"/>
  <c r="O46" i="3" s="1"/>
  <c r="R10" i="3"/>
  <c r="O18" i="1" a="1"/>
  <c r="O18" i="1" s="1"/>
  <c r="O23" i="1" s="1"/>
  <c r="R12" i="1" s="1"/>
  <c r="O17" i="1" a="1"/>
  <c r="O17" i="1" s="1"/>
  <c r="O22" i="1" s="1"/>
  <c r="R11" i="1" s="1"/>
  <c r="O16" i="1" a="1"/>
  <c r="O16" i="1" s="1"/>
  <c r="O21" i="1" s="1"/>
  <c r="R10" i="1" s="1"/>
  <c r="L27" i="1" a="1"/>
  <c r="L27" i="1" s="1"/>
  <c r="L29" i="1" s="1"/>
  <c r="AH27" i="6" l="1" a="1"/>
  <c r="AH27" i="6" s="1"/>
  <c r="AH35" i="6" s="1"/>
  <c r="AH28" i="6" a="1"/>
  <c r="AH28" i="6" s="1"/>
  <c r="AH36" i="6" s="1"/>
  <c r="AH26" i="6" a="1"/>
  <c r="AH26" i="6" s="1"/>
  <c r="AH34" i="6" s="1"/>
  <c r="AH24" i="6" a="1"/>
  <c r="AH24" i="6" s="1"/>
  <c r="AH32" i="6" s="1"/>
  <c r="AH23" i="6" a="1"/>
  <c r="AH23" i="6" s="1"/>
  <c r="AH31" i="6" s="1"/>
  <c r="AH25" i="6" a="1"/>
  <c r="AH25" i="6" s="1"/>
  <c r="AH33" i="6" s="1"/>
  <c r="AE43" i="6" a="1"/>
  <c r="AE43" i="6" s="1"/>
  <c r="AE54" i="6" s="1"/>
  <c r="AE41" i="6" a="1"/>
  <c r="AE41" i="6" s="1"/>
  <c r="AE52" i="6" s="1"/>
  <c r="AE40" i="6" a="1"/>
  <c r="AE40" i="6" s="1"/>
  <c r="AE51" i="6" s="1"/>
  <c r="AE47" i="6" a="1"/>
  <c r="AE47" i="6" s="1"/>
  <c r="AE58" i="6" s="1"/>
  <c r="AE45" i="6" a="1"/>
  <c r="AE45" i="6" s="1"/>
  <c r="AE56" i="6" s="1"/>
  <c r="AE46" i="6" a="1"/>
  <c r="AE46" i="6" s="1"/>
  <c r="AE57" i="6" s="1"/>
  <c r="AE42" i="6" a="1"/>
  <c r="AE42" i="6" s="1"/>
  <c r="AE53" i="6" s="1"/>
  <c r="AE49" i="6" a="1"/>
  <c r="AE49" i="6" s="1"/>
  <c r="AE60" i="6" s="1"/>
  <c r="AE48" i="6" a="1"/>
  <c r="AE48" i="6" s="1"/>
  <c r="AE59" i="6" s="1"/>
  <c r="AE44" i="6" a="1"/>
  <c r="AE44" i="6" s="1"/>
  <c r="AE55" i="6" s="1"/>
  <c r="S66" i="6"/>
  <c r="S65" i="6"/>
  <c r="S63" i="6"/>
  <c r="S68" i="6"/>
  <c r="S67" i="6"/>
  <c r="S64" i="6"/>
  <c r="S69" i="6"/>
  <c r="S71" i="6"/>
  <c r="S70" i="6"/>
  <c r="S62" i="6"/>
  <c r="V27" i="6" a="1"/>
  <c r="V27" i="6" s="1"/>
  <c r="V35" i="6" s="1"/>
  <c r="Y18" i="6" s="1"/>
  <c r="V23" i="6" a="1"/>
  <c r="V23" i="6" s="1"/>
  <c r="V31" i="6" s="1"/>
  <c r="V26" i="6" a="1"/>
  <c r="V26" i="6" s="1"/>
  <c r="V34" i="6" s="1"/>
  <c r="Y17" i="6" s="1"/>
  <c r="V28" i="6" a="1"/>
  <c r="V28" i="6" s="1"/>
  <c r="V36" i="6" s="1"/>
  <c r="Y19" i="6" s="1"/>
  <c r="V24" i="6" a="1"/>
  <c r="V24" i="6" s="1"/>
  <c r="V32" i="6" s="1"/>
  <c r="Y15" i="6" s="1"/>
  <c r="V25" i="6" a="1"/>
  <c r="V25" i="6" s="1"/>
  <c r="V33" i="6" s="1"/>
  <c r="Y16" i="6" s="1"/>
  <c r="O45" i="3"/>
  <c r="O44" i="3"/>
  <c r="R22" i="3" a="1"/>
  <c r="R22" i="3" s="1"/>
  <c r="R30" i="3" s="1"/>
  <c r="U13" i="3" s="1"/>
  <c r="R21" i="3" a="1"/>
  <c r="R21" i="3" s="1"/>
  <c r="R29" i="3" s="1"/>
  <c r="U12" i="3" s="1"/>
  <c r="R20" i="3" a="1"/>
  <c r="R20" i="3" s="1"/>
  <c r="R28" i="3" s="1"/>
  <c r="U11" i="3" s="1"/>
  <c r="R23" i="3" a="1"/>
  <c r="R23" i="3" s="1"/>
  <c r="R31" i="3" s="1"/>
  <c r="U14" i="3" s="1"/>
  <c r="R24" i="3" a="1"/>
  <c r="R24" i="3" s="1"/>
  <c r="R32" i="3" s="1"/>
  <c r="U15" i="3" s="1"/>
  <c r="R19" i="3" a="1"/>
  <c r="R19" i="3" s="1"/>
  <c r="R27" i="3" s="1"/>
  <c r="O27" i="1" a="1"/>
  <c r="O27" i="1" s="1"/>
  <c r="O29" i="1" s="1"/>
  <c r="AH49" i="6" l="1" a="1"/>
  <c r="AH49" i="6" s="1"/>
  <c r="AH60" i="6" s="1"/>
  <c r="AE71" i="6"/>
  <c r="AH45" i="6" a="1"/>
  <c r="AH45" i="6" s="1"/>
  <c r="AH56" i="6" s="1"/>
  <c r="AH44" i="6" a="1"/>
  <c r="AH44" i="6" s="1"/>
  <c r="AH55" i="6" s="1"/>
  <c r="AH43" i="6" a="1"/>
  <c r="AH43" i="6" s="1"/>
  <c r="AH54" i="6" s="1"/>
  <c r="AH40" i="6" a="1"/>
  <c r="AH40" i="6" s="1"/>
  <c r="AH51" i="6" s="1"/>
  <c r="AH42" i="6" a="1"/>
  <c r="AH42" i="6" s="1"/>
  <c r="AH53" i="6" s="1"/>
  <c r="AE68" i="6"/>
  <c r="AH48" i="6" a="1"/>
  <c r="AH48" i="6" s="1"/>
  <c r="AH59" i="6" s="1"/>
  <c r="AH41" i="6" a="1"/>
  <c r="AH41" i="6" s="1"/>
  <c r="AH52" i="6" s="1"/>
  <c r="AH46" i="6" a="1"/>
  <c r="AH46" i="6" s="1"/>
  <c r="AH57" i="6" s="1"/>
  <c r="AH47" i="6" a="1"/>
  <c r="AH47" i="6" s="1"/>
  <c r="AH58" i="6" s="1"/>
  <c r="AE67" i="6"/>
  <c r="AE64" i="6"/>
  <c r="AE62" i="6"/>
  <c r="AE66" i="6"/>
  <c r="AE63" i="6"/>
  <c r="AE69" i="6"/>
  <c r="AE70" i="6"/>
  <c r="AE65" i="6"/>
  <c r="V46" i="6" a="1"/>
  <c r="V46" i="6" s="1"/>
  <c r="V57" i="6" s="1"/>
  <c r="V45" i="6" a="1"/>
  <c r="V45" i="6" s="1"/>
  <c r="V56" i="6" s="1"/>
  <c r="V41" i="6" a="1"/>
  <c r="V41" i="6" s="1"/>
  <c r="V52" i="6" s="1"/>
  <c r="V47" i="6" a="1"/>
  <c r="V47" i="6" s="1"/>
  <c r="V58" i="6" s="1"/>
  <c r="V44" i="6" a="1"/>
  <c r="V44" i="6" s="1"/>
  <c r="V55" i="6" s="1"/>
  <c r="V43" i="6" a="1"/>
  <c r="V43" i="6" s="1"/>
  <c r="V54" i="6" s="1"/>
  <c r="V42" i="6" a="1"/>
  <c r="V42" i="6" s="1"/>
  <c r="V53" i="6" s="1"/>
  <c r="Y14" i="6"/>
  <c r="V48" i="6" a="1"/>
  <c r="V48" i="6" s="1"/>
  <c r="V59" i="6" s="1"/>
  <c r="V40" i="6" a="1"/>
  <c r="V40" i="6" s="1"/>
  <c r="V51" i="6" s="1"/>
  <c r="V49" i="6" a="1"/>
  <c r="V49" i="6" s="1"/>
  <c r="V60" i="6" s="1"/>
  <c r="R37" i="3" a="1"/>
  <c r="R37" i="3" s="1"/>
  <c r="R41" i="3" s="1"/>
  <c r="R36" i="3" a="1"/>
  <c r="R36" i="3" s="1"/>
  <c r="R40" i="3" s="1"/>
  <c r="R38" i="3" a="1"/>
  <c r="R38" i="3" s="1"/>
  <c r="R42" i="3" s="1"/>
  <c r="R46" i="3" s="1"/>
  <c r="U10" i="3"/>
  <c r="R16" i="1" a="1"/>
  <c r="R16" i="1" s="1"/>
  <c r="R21" i="1" s="1"/>
  <c r="U10" i="1" s="1"/>
  <c r="R17" i="1" a="1"/>
  <c r="R17" i="1" s="1"/>
  <c r="R22" i="1" s="1"/>
  <c r="U11" i="1" s="1"/>
  <c r="R18" i="1" a="1"/>
  <c r="R18" i="1" s="1"/>
  <c r="R23" i="1" s="1"/>
  <c r="U12" i="1" s="1"/>
  <c r="AH69" i="6" l="1"/>
  <c r="AH65" i="6"/>
  <c r="AH62" i="6"/>
  <c r="AH66" i="6"/>
  <c r="AH64" i="6"/>
  <c r="AH68" i="6"/>
  <c r="AH71" i="6"/>
  <c r="AH67" i="6"/>
  <c r="AH70" i="6"/>
  <c r="AH63" i="6"/>
  <c r="V67" i="6"/>
  <c r="V64" i="6"/>
  <c r="V66" i="6"/>
  <c r="V65" i="6"/>
  <c r="V63" i="6"/>
  <c r="V69" i="6"/>
  <c r="V68" i="6"/>
  <c r="V71" i="6"/>
  <c r="V62" i="6"/>
  <c r="V70" i="6"/>
  <c r="Y26" i="6" a="1"/>
  <c r="Y26" i="6" s="1"/>
  <c r="Y34" i="6" s="1"/>
  <c r="AB17" i="6" s="1"/>
  <c r="Y24" i="6" a="1"/>
  <c r="Y24" i="6" s="1"/>
  <c r="Y32" i="6" s="1"/>
  <c r="AB15" i="6" s="1"/>
  <c r="Y28" i="6" a="1"/>
  <c r="Y28" i="6" s="1"/>
  <c r="Y36" i="6" s="1"/>
  <c r="AB19" i="6" s="1"/>
  <c r="Y27" i="6" a="1"/>
  <c r="Y27" i="6" s="1"/>
  <c r="Y35" i="6" s="1"/>
  <c r="AB18" i="6" s="1"/>
  <c r="Y25" i="6" a="1"/>
  <c r="Y25" i="6" s="1"/>
  <c r="Y33" i="6" s="1"/>
  <c r="AB16" i="6" s="1"/>
  <c r="Y23" i="6" a="1"/>
  <c r="Y23" i="6" s="1"/>
  <c r="Y31" i="6" s="1"/>
  <c r="R45" i="3"/>
  <c r="R44" i="3"/>
  <c r="U22" i="3" a="1"/>
  <c r="U22" i="3" s="1"/>
  <c r="U30" i="3" s="1"/>
  <c r="X13" i="3" s="1"/>
  <c r="U21" i="3" a="1"/>
  <c r="U21" i="3" s="1"/>
  <c r="U29" i="3" s="1"/>
  <c r="X12" i="3" s="1"/>
  <c r="U20" i="3" a="1"/>
  <c r="U20" i="3" s="1"/>
  <c r="U28" i="3" s="1"/>
  <c r="X11" i="3" s="1"/>
  <c r="U23" i="3" a="1"/>
  <c r="U23" i="3" s="1"/>
  <c r="U31" i="3" s="1"/>
  <c r="X14" i="3" s="1"/>
  <c r="U24" i="3" a="1"/>
  <c r="U24" i="3" s="1"/>
  <c r="U32" i="3" s="1"/>
  <c r="X15" i="3" s="1"/>
  <c r="U19" i="3" a="1"/>
  <c r="U19" i="3" s="1"/>
  <c r="U27" i="3" s="1"/>
  <c r="R27" i="1" a="1"/>
  <c r="R27" i="1" s="1"/>
  <c r="R29" i="1" s="1"/>
  <c r="Y47" i="6" l="1" a="1"/>
  <c r="Y47" i="6" s="1"/>
  <c r="Y58" i="6" s="1"/>
  <c r="Y42" i="6" a="1"/>
  <c r="Y42" i="6" s="1"/>
  <c r="Y53" i="6" s="1"/>
  <c r="Y46" i="6" a="1"/>
  <c r="Y46" i="6" s="1"/>
  <c r="Y57" i="6" s="1"/>
  <c r="Y44" i="6" a="1"/>
  <c r="Y44" i="6" s="1"/>
  <c r="Y55" i="6" s="1"/>
  <c r="Y43" i="6" a="1"/>
  <c r="Y43" i="6" s="1"/>
  <c r="Y54" i="6" s="1"/>
  <c r="Y41" i="6" a="1"/>
  <c r="Y41" i="6" s="1"/>
  <c r="Y52" i="6" s="1"/>
  <c r="Y45" i="6" a="1"/>
  <c r="Y45" i="6" s="1"/>
  <c r="Y56" i="6" s="1"/>
  <c r="Y48" i="6" a="1"/>
  <c r="Y48" i="6" s="1"/>
  <c r="Y59" i="6" s="1"/>
  <c r="AB14" i="6"/>
  <c r="Y49" i="6" a="1"/>
  <c r="Y49" i="6" s="1"/>
  <c r="Y60" i="6" s="1"/>
  <c r="Y40" i="6" a="1"/>
  <c r="Y40" i="6" s="1"/>
  <c r="Y51" i="6" s="1"/>
  <c r="U37" i="3" a="1"/>
  <c r="U37" i="3" s="1"/>
  <c r="U41" i="3" s="1"/>
  <c r="U36" i="3" a="1"/>
  <c r="U36" i="3" s="1"/>
  <c r="U40" i="3" s="1"/>
  <c r="U38" i="3" a="1"/>
  <c r="U38" i="3" s="1"/>
  <c r="U42" i="3" s="1"/>
  <c r="X10" i="3"/>
  <c r="U18" i="1" a="1"/>
  <c r="U18" i="1" s="1"/>
  <c r="U23" i="1" s="1"/>
  <c r="U17" i="1" a="1"/>
  <c r="U17" i="1" s="1"/>
  <c r="U22" i="1" s="1"/>
  <c r="U16" i="1" a="1"/>
  <c r="U16" i="1" s="1"/>
  <c r="U21" i="1" s="1"/>
  <c r="Y68" i="6" l="1"/>
  <c r="Y63" i="6"/>
  <c r="Y67" i="6"/>
  <c r="Y65" i="6"/>
  <c r="Y64" i="6"/>
  <c r="Y66" i="6"/>
  <c r="Y69" i="6"/>
  <c r="Y62" i="6"/>
  <c r="Y70" i="6"/>
  <c r="Y71" i="6"/>
  <c r="AB27" i="6" a="1"/>
  <c r="AB27" i="6" s="1"/>
  <c r="AB35" i="6" s="1"/>
  <c r="AB25" i="6" a="1"/>
  <c r="AB25" i="6" s="1"/>
  <c r="AB33" i="6" s="1"/>
  <c r="AB23" i="6" a="1"/>
  <c r="AB23" i="6" s="1"/>
  <c r="AB31" i="6" s="1"/>
  <c r="AB28" i="6" a="1"/>
  <c r="AB28" i="6" s="1"/>
  <c r="AB36" i="6" s="1"/>
  <c r="AB26" i="6" a="1"/>
  <c r="AB26" i="6" s="1"/>
  <c r="AB34" i="6" s="1"/>
  <c r="AB24" i="6" a="1"/>
  <c r="AB24" i="6" s="1"/>
  <c r="AB32" i="6" s="1"/>
  <c r="U44" i="3"/>
  <c r="U46" i="3"/>
  <c r="U45" i="3"/>
  <c r="X20" i="3" a="1"/>
  <c r="X20" i="3" s="1"/>
  <c r="X28" i="3" s="1"/>
  <c r="X21" i="3" a="1"/>
  <c r="X21" i="3" s="1"/>
  <c r="X29" i="3" s="1"/>
  <c r="X22" i="3" a="1"/>
  <c r="X22" i="3" s="1"/>
  <c r="X30" i="3" s="1"/>
  <c r="X24" i="3" a="1"/>
  <c r="X24" i="3" s="1"/>
  <c r="X32" i="3" s="1"/>
  <c r="X19" i="3" a="1"/>
  <c r="X19" i="3" s="1"/>
  <c r="X27" i="3" s="1"/>
  <c r="X23" i="3" a="1"/>
  <c r="X23" i="3" s="1"/>
  <c r="X31" i="3" s="1"/>
  <c r="U27" i="1" a="1"/>
  <c r="U27" i="1" s="1"/>
  <c r="U29" i="1" s="1"/>
  <c r="AB47" i="6" l="1" a="1"/>
  <c r="AB47" i="6" s="1"/>
  <c r="AB58" i="6" s="1"/>
  <c r="AB46" i="6" a="1"/>
  <c r="AB46" i="6" s="1"/>
  <c r="AB57" i="6" s="1"/>
  <c r="AB44" i="6" a="1"/>
  <c r="AB44" i="6" s="1"/>
  <c r="AB55" i="6" s="1"/>
  <c r="AB45" i="6" a="1"/>
  <c r="AB45" i="6" s="1"/>
  <c r="AB56" i="6" s="1"/>
  <c r="AB43" i="6" a="1"/>
  <c r="AB43" i="6" s="1"/>
  <c r="AB54" i="6" s="1"/>
  <c r="AB42" i="6" a="1"/>
  <c r="AB42" i="6" s="1"/>
  <c r="AB53" i="6" s="1"/>
  <c r="AB41" i="6" a="1"/>
  <c r="AB41" i="6" s="1"/>
  <c r="AB52" i="6" s="1"/>
  <c r="AB48" i="6" a="1"/>
  <c r="AB48" i="6" s="1"/>
  <c r="AB59" i="6" s="1"/>
  <c r="AB49" i="6" a="1"/>
  <c r="AB49" i="6" s="1"/>
  <c r="AB60" i="6" s="1"/>
  <c r="AB40" i="6" a="1"/>
  <c r="AB40" i="6" s="1"/>
  <c r="AB51" i="6" s="1"/>
  <c r="X37" i="3" a="1"/>
  <c r="X37" i="3" s="1"/>
  <c r="X41" i="3" s="1"/>
  <c r="X38" i="3" a="1"/>
  <c r="X38" i="3" s="1"/>
  <c r="X42" i="3" s="1"/>
  <c r="X36" i="3" a="1"/>
  <c r="X36" i="3" s="1"/>
  <c r="X40" i="3" s="1"/>
  <c r="X44" i="3" s="1"/>
  <c r="AB69" i="6" l="1"/>
  <c r="AB65" i="6"/>
  <c r="AB63" i="6"/>
  <c r="AB68" i="6"/>
  <c r="AB67" i="6"/>
  <c r="AB66" i="6"/>
  <c r="AB64" i="6"/>
  <c r="AB62" i="6"/>
  <c r="AB71" i="6"/>
  <c r="AB70" i="6"/>
  <c r="X46" i="3"/>
  <c r="X45"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tc={336C7ABC-AF39-9441-A52B-3168FF590A97}</author>
    <author>tc={7B7A0070-3FDC-A54A-916C-D673FA63225F}</author>
    <author>tc={44C758EC-5900-9B48-BC48-5D20F774CA1D}</author>
    <author>tc={0147B201-C924-7648-806A-58C510748F68}</author>
    <author>tc={89826388-5F91-C04B-AE8E-84B25C77BCDA}</author>
    <author>tc={11D39597-B457-6641-800D-8EF7FADB76E2}</author>
    <author>tc={7EADAFF7-EDD7-964F-AC81-867E28C7185C}</author>
    <author>tc={D49C0CBB-406C-E340-BD0B-D6019EE93A59}</author>
  </authors>
  <commentList>
    <comment ref="L6" authorId="0" shapeId="0" xr:uid="{336C7ABC-AF39-9441-A52B-3168FF590A97}">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4D input vector.</t>
      </text>
    </comment>
    <comment ref="O6" authorId="1" shapeId="0" xr:uid="{7B7A0070-3FDC-A54A-916C-D673FA63225F}">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For the next input, the process repeats or recurs to calculate new feature values, new hidden states, a new logit value, and a new output value. </t>
      </text>
    </comment>
    <comment ref="K10" authorId="2" shapeId="0" xr:uid="{44C758EC-5900-9B48-BC48-5D20F774CA1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Hidden states are initialized to either all zeros or some random values.</t>
      </text>
    </comment>
    <comment ref="L10" authorId="3" shapeId="0" xr:uid="{0147B201-C924-7648-806A-58C510748F68}">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3D hidden state vector.</t>
      </text>
    </comment>
    <comment ref="L16" authorId="4" shapeId="0" xr:uid="{89826388-5F91-C04B-AE8E-84B25C77BCD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This feature value depends on current input (Xt) and the previous hidden states (H{t-1}), weighted by Wx and Wh respectively, with a bias bh added. This can be calculated as a matrix multiplication.</t>
      </text>
    </comment>
    <comment ref="L21" authorId="5" shapeId="0" xr:uid="{11D39597-B457-6641-800D-8EF7FADB76E2}">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New values of the hidden state is calculated by applying the activation function (tanh) to the activation value. Then it is passed along to the next time step. </t>
      </text>
    </comment>
    <comment ref="L27" authorId="6" shapeId="0" xr:uid="{7EADAFF7-EDD7-964F-AC81-867E28C7185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The new hidden state (Ht) is multiplied with the weight (Wy) and bias (by) to obtain the “logit” value, which is the value right before the final activation is applied to it.</t>
      </text>
    </comment>
    <comment ref="L29" authorId="7" shapeId="0" xr:uid="{D49C0CBB-406C-E340-BD0B-D6019EE93A59}">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Calculate the output value Yt by applying the activation function (sigmoid), which can give us a value between 0 and 1.</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<sst xmlns="http://schemas.openxmlformats.org/spreadsheetml/2006/main" count="258" uniqueCount="73">
  <si>
    <t>Time</t>
  </si>
  <si>
    <t xml:space="preserve">t = </t>
  </si>
  <si>
    <t>Input Sequence</t>
  </si>
  <si>
    <t>X1</t>
  </si>
  <si>
    <t>X2</t>
  </si>
  <si>
    <t>X3</t>
  </si>
  <si>
    <t>X4</t>
  </si>
  <si>
    <t>Hidden States</t>
  </si>
  <si>
    <t>H0</t>
  </si>
  <si>
    <t>H1</t>
  </si>
  <si>
    <t>H2</t>
  </si>
  <si>
    <t>H3</t>
  </si>
  <si>
    <t>↓</t>
  </si>
  <si>
    <t>Wx</t>
  </si>
  <si>
    <t>Wh</t>
  </si>
  <si>
    <t>bh</t>
  </si>
  <si>
    <t>→</t>
  </si>
  <si>
    <t>tanh</t>
  </si>
  <si>
    <t>⌇</t>
  </si>
  <si>
    <t>H{t} = tanh(A{t})</t>
  </si>
  <si>
    <t>H4</t>
  </si>
  <si>
    <t>Wy</t>
  </si>
  <si>
    <t>by</t>
  </si>
  <si>
    <t>O{t} = Wy * H{t} + by</t>
  </si>
  <si>
    <t>O1</t>
  </si>
  <si>
    <t>O2</t>
  </si>
  <si>
    <t>O3</t>
  </si>
  <si>
    <t>O4</t>
  </si>
  <si>
    <t>sigmoid</t>
  </si>
  <si>
    <t>Output Sequence</t>
  </si>
  <si>
    <t>Y1</t>
  </si>
  <si>
    <t>Y2</t>
  </si>
  <si>
    <t>Y3</t>
  </si>
  <si>
    <t>Y4</t>
  </si>
  <si>
    <t>Recurrent Neural Network (RNN) | AI by Hand  ✍️ © 2024 Tom Yeh</t>
  </si>
  <si>
    <t>F{t} = Wx*X{t} + Wh*H{t-1} + bh</t>
  </si>
  <si>
    <t>F1</t>
  </si>
  <si>
    <t>F2</t>
  </si>
  <si>
    <t>F3</t>
  </si>
  <si>
    <t>F4</t>
  </si>
  <si>
    <t>Softmax</t>
  </si>
  <si>
    <t>exp()</t>
  </si>
  <si>
    <t>Sequence Length</t>
  </si>
  <si>
    <t>Input Dim</t>
  </si>
  <si>
    <t>Output Dim</t>
  </si>
  <si>
    <t>Hidden State Dim</t>
  </si>
  <si>
    <t>X6</t>
  </si>
  <si>
    <t>X5</t>
  </si>
  <si>
    <t>H5</t>
  </si>
  <si>
    <t>F6</t>
  </si>
  <si>
    <t>F5</t>
  </si>
  <si>
    <t>H6</t>
  </si>
  <si>
    <t>O5</t>
  </si>
  <si>
    <t>O6</t>
  </si>
  <si>
    <t>Y6</t>
  </si>
  <si>
    <t>Y5</t>
  </si>
  <si>
    <t>MIT License</t>
  </si>
  <si>
    <t>Copyright (c) 2024 Tom Yeh</t>
  </si>
  <si>
    <t>Permission is hereby granted, free of charge, to any person obtaining a copy</t>
  </si>
  <si>
    <t>of this software and associated documentation files (the "Software"), to deal</t>
  </si>
  <si>
    <t>in the Software without restriction, including without limitation the rights</t>
  </si>
  <si>
    <t>to use, copy, modify, merge, publish, distribute, sublicense, and/or sell</t>
  </si>
  <si>
    <t>copies of the Software, and to permit persons to whom the Software is</t>
  </si>
  <si>
    <t>furnished to do so, subject to the following conditions:</t>
  </si>
  <si>
    <t>The above copyright notice and this permission notice shall be included in all</t>
  </si>
  <si>
    <t>copies or substantial portions of the Software.</t>
  </si>
  <si>
    <t>THE SOFTWARE IS PROVIDED "AS IS", WITHOUT WARRANTY OF ANY KIND, EXPRESS OR</t>
  </si>
  <si>
    <t>IMPLIED, INCLUDING BUT NOT LIMITED TO THE WARRANTIES OF MERCHANTABILITY,</t>
  </si>
  <si>
    <t>FITNESS FOR A PARTICULAR PURPOSE AND NONINFRINGEMENT. IN NO EVENT SHALL THE</t>
  </si>
  <si>
    <t>AUTHORS OR COPYRIGHT HOLDERS BE LIABLE FOR ANY CLAIM, DAMAGES OR OTHER</t>
  </si>
  <si>
    <t>LIABILITY, WHETHER IN AN ACTION OF CONTRACT, TORT OR OTHERWISE, ARISING FROM,</t>
  </si>
  <si>
    <t>OUT OF OR IN CONNECTION WITH THE SOFTWARE OR THE USE OR OTHER DEALINGS IN THE</t>
  </si>
  <si>
    <t>SOFTWARE.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</si>
</sst>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font>
      <sz val="10"/>
      <color rgb="FF000000"/>
      <name val="Arial"/>
      <scheme val="minor"/>
    </font>
    <font>
      <b/>
      <sz val="21"/>
      <color theme="1"/>
      <name val="Arial"/>
      <family val="2"/>
      <scheme val="minor"/>
    </font>
    <font>
      <sz val="10"/>
      <color theme="1"/>
      <name val="Arial"/>
      <family val="2"/>
      <scheme val="minor"/>
    </font>
    <font>
      <b/>
      <sz val="10"/>
      <color theme="1"/>
      <name val="Arial"/>
      <family val="2"/>
      <scheme val="minor"/>
    </font>
    <font>
      <sz val="10"/>
      <color theme="1"/>
      <name val="Coming Soon"/>
    </font>
    <font>
      <sz val="10"/>
      <color rgb="FF6AA84F"/>
      <name val="Arial"/>
      <family val="2"/>
      <scheme val="minor"/>
    </font>
    <font>
      <sz val="10"/>
      <color rgb="FF6AA84F"/>
      <name val="Arial"/>
      <family val="2"/>
    </font>
    <font>
      <sz val="10"/>
      <color rgb="FF980000"/>
      <name val="Times New Roman"/>
      <family val="1"/>
    </font>
    <font>
      <i/>
      <sz val="9"/>
      <color theme="1"/>
      <name val="Arial"/>
      <family val="2"/>
      <scheme val="minor"/>
    </font>
    <font>
      <sz val="10"/>
      <color rgb="FF444444"/>
      <name val="Inherit"/>
    </font>
    <font>
      <sz val="7"/>
      <color rgb="FF6AA84F"/>
      <name val="Arial"/>
      <family val="2"/>
      <scheme val="minor"/>
    </font>
    <font>
      <sz val="7"/>
      <color theme="1"/>
      <name val="Arial"/>
      <family val="2"/>
      <scheme val="minor"/>
    </font>
    <font>
      <sz val="10"/>
      <color theme="1"/>
      <name val="Arial"/>
      <family val="2"/>
    </font>
    <font>
      <sz val="10"/>
      <color theme="1"/>
      <name val="Arial"/>
      <family val="2"/>
      <scheme val="minor"/>
    </font>
    <font>
      <sz val="10"/>
      <color rgb="FF000000"/>
      <name val="Arial"/>
      <family val="2"/>
      <scheme val="minor"/>
    </font>
    <font>
      <sz val="12"/>
      <color rgb="FF000000"/>
      <name val="Arial"/>
      <family val="2"/>
      <scheme val="minor"/>
    </font>
  </fonts>
  <fills count="7">
    <fill>
      <patternFill patternType="none"/>
    </fill>
    <fill>
      <patternFill patternType="gray125"/>
    </fill>
    <fill>
      <patternFill patternType="solid">
        <fgColor rgb="FFFFF2CC"/>
        <bgColor rgb="FFFFF2CC"/>
      </patternFill>
    </fill>
    <fill>
      <patternFill patternType="solid">
        <fgColor rgb="FFD9EAD3"/>
        <bgColor rgb="FFD9EAD3"/>
      </patternFill>
    </fill>
    <fill>
      <patternFill patternType="solid">
        <fgColor rgb="FFF3F3F3"/>
        <bgColor rgb="FFF3F3F3"/>
      </patternFill>
    </fill>
    <fill>
      <patternFill patternType="solid">
        <fgColor theme="9" tint="0.79998168889431442"/>
        <bgColor indexed="64"/>
      </patternFill>
    </fill>
    <fill>
      <patternFill patternType="solid">
        <fgColor theme="4" tint="0.79998168889431442"/>
        <bgColor indexed="64"/>
      </patternFill>
    </fill>
  </fills>
  <borders count="40">
    <border>
      <left/>
      <right/>
      <top/>
      <bottom/>
      <diagonal/>
    </border>
    <border>
      <left style="thin">
        <color rgb="FF000000"/>
      </left>
      <right style="thin">
        <color rgb="FF000000"/>
      </right>
      <top style="thin">
        <color rgb="FF000000"/>
      </top>
      <bottom style="thin">
        <color rgb="FF000000"/>
      </bottom>
      <diagonal/>
    </border>
    <border>
      <left style="medium">
        <color rgb="FFFF0000"/>
      </left>
      <right style="thin">
        <color rgb="FF000000"/>
      </right>
      <top style="medium">
        <color rgb="FFFF0000"/>
      </top>
      <bottom style="thin">
        <color rgb="FF000000"/>
      </bottom>
      <diagonal/>
    </border>
    <border>
      <left style="thin">
        <color rgb="FF000000"/>
      </left>
      <right style="thin">
        <color rgb="FF000000"/>
      </right>
      <top style="medium">
        <color rgb="FFFF0000"/>
      </top>
      <bottom style="thin">
        <color rgb="FF000000"/>
      </bottom>
      <diagonal/>
    </border>
    <border>
      <left style="thin">
        <color rgb="FF000000"/>
      </left>
      <right/>
      <top style="medium">
        <color rgb="FFFF0000"/>
      </top>
      <bottom style="thin">
        <color rgb="FF000000"/>
      </bottom>
      <diagonal/>
    </border>
    <border>
      <left style="thin">
        <color rgb="FF000000"/>
      </left>
      <right style="medium">
        <color rgb="FFFF0000"/>
      </right>
      <top style="medium">
        <color rgb="FFFF0000"/>
      </top>
      <bottom style="thin">
        <color rgb="FF000000"/>
      </bottom>
      <diagonal/>
    </border>
    <border>
      <left style="medium">
        <color rgb="FFFF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medium">
        <color rgb="FFFF0000"/>
      </right>
      <top style="thin">
        <color rgb="FF000000"/>
      </top>
      <bottom style="thin">
        <color rgb="FF000000"/>
      </bottom>
      <diagonal/>
    </border>
    <border>
      <left style="medium">
        <color rgb="FFFF0000"/>
      </left>
      <right style="thin">
        <color rgb="FF000000"/>
      </right>
      <top style="thin">
        <color rgb="FF000000"/>
      </top>
      <bottom style="medium">
        <color rgb="FFFF0000"/>
      </bottom>
      <diagonal/>
    </border>
    <border>
      <left style="thin">
        <color rgb="FF000000"/>
      </left>
      <right style="thin">
        <color rgb="FF000000"/>
      </right>
      <top style="thin">
        <color rgb="FF000000"/>
      </top>
      <bottom style="medium">
        <color rgb="FFFF0000"/>
      </bottom>
      <diagonal/>
    </border>
    <border>
      <left style="thin">
        <color rgb="FF000000"/>
      </left>
      <right/>
      <top style="thin">
        <color rgb="FF000000"/>
      </top>
      <bottom style="medium">
        <color rgb="FFFF0000"/>
      </bottom>
      <diagonal/>
    </border>
    <border>
      <left style="thin">
        <color rgb="FF000000"/>
      </left>
      <right style="medium">
        <color rgb="FFFF0000"/>
      </right>
      <top style="thin">
        <color rgb="FF000000"/>
      </top>
      <bottom style="medium">
        <color rgb="FFFF0000"/>
      </bottom>
      <diagonal/>
    </border>
    <border>
      <left style="medium">
        <color rgb="FFFF0000"/>
      </left>
      <right style="thin">
        <color rgb="FF000000"/>
      </right>
      <top style="medium">
        <color rgb="FFFF0000"/>
      </top>
      <bottom style="medium">
        <color rgb="FFFF0000"/>
      </bottom>
      <diagonal/>
    </border>
    <border>
      <left style="thin">
        <color rgb="FF000000"/>
      </left>
      <right style="thin">
        <color rgb="FF000000"/>
      </right>
      <top style="medium">
        <color rgb="FFFF0000"/>
      </top>
      <bottom style="medium">
        <color rgb="FFFF0000"/>
      </bottom>
      <diagonal/>
    </border>
    <border>
      <left style="thin">
        <color rgb="FF000000"/>
      </left>
      <right style="medium">
        <color rgb="FFFF0000"/>
      </right>
      <top style="medium">
        <color rgb="FFFF0000"/>
      </top>
      <bottom style="medium">
        <color rgb="FFFF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FF0000"/>
      </left>
      <right style="thin">
        <color indexed="64"/>
      </right>
      <top style="thin">
        <color rgb="FFFF0000"/>
      </top>
      <bottom style="thin">
        <color indexed="64"/>
      </bottom>
      <diagonal/>
    </border>
    <border>
      <left style="thin">
        <color indexed="64"/>
      </left>
      <right style="thin">
        <color indexed="64"/>
      </right>
      <top style="thin">
        <color rgb="FFFF0000"/>
      </top>
      <bottom style="thin">
        <color indexed="64"/>
      </bottom>
      <diagonal/>
    </border>
    <border>
      <left style="thin">
        <color indexed="64"/>
      </left>
      <right style="thin">
        <color rgb="FFFF0000"/>
      </right>
      <top style="thin">
        <color rgb="FFFF0000"/>
      </top>
      <bottom style="thin">
        <color indexed="64"/>
      </bottom>
      <diagonal/>
    </border>
    <border>
      <left style="thin">
        <color rgb="FFFF0000"/>
      </left>
      <right style="thin">
        <color indexed="64"/>
      </right>
      <top style="thin">
        <color indexed="64"/>
      </top>
      <bottom style="thin">
        <color indexed="64"/>
      </bottom>
      <diagonal/>
    </border>
    <border>
      <left style="thin">
        <color indexed="64"/>
      </left>
      <right style="thin">
        <color rgb="FFFF0000"/>
      </right>
      <top style="thin">
        <color indexed="64"/>
      </top>
      <bottom style="thin">
        <color indexed="64"/>
      </bottom>
      <diagonal/>
    </border>
    <border>
      <left style="thin">
        <color rgb="FFFF0000"/>
      </left>
      <right style="thin">
        <color indexed="64"/>
      </right>
      <top style="thin">
        <color indexed="64"/>
      </top>
      <bottom style="thin">
        <color rgb="FFFF0000"/>
      </bottom>
      <diagonal/>
    </border>
    <border>
      <left style="thin">
        <color indexed="64"/>
      </left>
      <right style="thin">
        <color indexed="64"/>
      </right>
      <top style="thin">
        <color indexed="64"/>
      </top>
      <bottom style="thin">
        <color rgb="FFFF0000"/>
      </bottom>
      <diagonal/>
    </border>
    <border>
      <left style="thin">
        <color indexed="64"/>
      </left>
      <right style="thin">
        <color rgb="FFFF0000"/>
      </right>
      <top style="thin">
        <color indexed="64"/>
      </top>
      <bottom style="thin">
        <color rgb="FFFF0000"/>
      </bottom>
      <diagonal/>
    </border>
    <border>
      <left style="thin">
        <color rgb="FFFF0000"/>
      </left>
      <right style="thin">
        <color rgb="FF000000"/>
      </right>
      <top style="thin">
        <color rgb="FFFF0000"/>
      </top>
      <bottom style="thin">
        <color rgb="FF000000"/>
      </bottom>
      <diagonal/>
    </border>
    <border>
      <left style="thin">
        <color rgb="FF000000"/>
      </left>
      <right style="thin">
        <color rgb="FF000000"/>
      </right>
      <top style="thin">
        <color rgb="FFFF0000"/>
      </top>
      <bottom style="thin">
        <color rgb="FF000000"/>
      </bottom>
      <diagonal/>
    </border>
    <border>
      <left style="thin">
        <color rgb="FF000000"/>
      </left>
      <right/>
      <top style="thin">
        <color rgb="FFFF0000"/>
      </top>
      <bottom style="thin">
        <color rgb="FF000000"/>
      </bottom>
      <diagonal/>
    </border>
    <border>
      <left style="thin">
        <color rgb="FF000000"/>
      </left>
      <right style="thin">
        <color rgb="FFFF0000"/>
      </right>
      <top style="thin">
        <color rgb="FFFF0000"/>
      </top>
      <bottom style="thin">
        <color rgb="FF000000"/>
      </bottom>
      <diagonal/>
    </border>
    <border>
      <left style="thin">
        <color rgb="FFFF0000"/>
      </left>
      <right style="thin">
        <color rgb="FF000000"/>
      </right>
      <top/>
      <bottom style="thin">
        <color rgb="FF000000"/>
      </bottom>
      <diagonal/>
    </border>
    <border>
      <left style="thin">
        <color rgb="FF000000"/>
      </left>
      <right style="thin">
        <color rgb="FFFF0000"/>
      </right>
      <top/>
      <bottom style="thin">
        <color rgb="FF000000"/>
      </bottom>
      <diagonal/>
    </border>
    <border>
      <left style="thin">
        <color rgb="FFFF0000"/>
      </left>
      <right style="thin">
        <color rgb="FF000000"/>
      </right>
      <top style="thin">
        <color rgb="FF000000"/>
      </top>
      <bottom style="thin">
        <color rgb="FF000000"/>
      </bottom>
      <diagonal/>
    </border>
    <border>
      <left style="thin">
        <color rgb="FF000000"/>
      </left>
      <right style="thin">
        <color rgb="FFFF0000"/>
      </right>
      <top style="thin">
        <color rgb="FF000000"/>
      </top>
      <bottom style="thin">
        <color rgb="FF000000"/>
      </bottom>
      <diagonal/>
    </border>
    <border>
      <left style="thin">
        <color rgb="FFFF0000"/>
      </left>
      <right style="thin">
        <color rgb="FF000000"/>
      </right>
      <top style="thin">
        <color rgb="FF000000"/>
      </top>
      <bottom style="thin">
        <color rgb="FFFF0000"/>
      </bottom>
      <diagonal/>
    </border>
    <border>
      <left style="thin">
        <color rgb="FF000000"/>
      </left>
      <right style="thin">
        <color rgb="FF000000"/>
      </right>
      <top style="thin">
        <color rgb="FF000000"/>
      </top>
      <bottom style="thin">
        <color rgb="FFFF0000"/>
      </bottom>
      <diagonal/>
    </border>
    <border>
      <left style="thin">
        <color rgb="FF000000"/>
      </left>
      <right/>
      <top style="thin">
        <color rgb="FF000000"/>
      </top>
      <bottom style="thin">
        <color rgb="FFFF0000"/>
      </bottom>
      <diagonal/>
    </border>
    <border>
      <left style="thin">
        <color rgb="FF000000"/>
      </left>
      <right style="thin">
        <color rgb="FFFF0000"/>
      </right>
      <top style="thin">
        <color rgb="FF000000"/>
      </top>
      <bottom style="thin">
        <color rgb="FFFF0000"/>
      </bottom>
      <diagonal/>
    </border>
    <border>
      <left style="thin">
        <color theme="1"/>
      </left>
      <right style="thin">
        <color theme="1"/>
      </right>
      <top style="thin">
        <color theme="1"/>
      </top>
      <bottom style="thin">
        <color theme="1"/>
      </bottom>
      <diagonal/>
    </border>
  </borders>
  <cellStyleXfs count="2">
    <xf numFmtId="0" fontId="0" fillId="0" borderId="0"/>
    <xf numFmtId="0" fontId="14" fillId="0" borderId="0"/>
  </cellStyleXfs>
  <cellXfs count="74">
    <xf numFmtId="0" fontId="0" fillId="0" borderId="0" xfId="0"/>
    <xf numFmtId="0" fontId="3" fillId="0" borderId="0" xfId="0" applyFont="1"/>
    <xf numFmtId="0" fontId="2" fillId="0" borderId="0" xfId="0" applyFont="1"/>
    <xf numFmtId="0" fontId="2" fillId="0" borderId="0" xfId="0" applyFont="1" applyAlignment="1">
      <alignment horizontal="center"/>
    </xf>
    <xf numFmtId="0" fontId="2" fillId="2" borderId="1" xfId="0" applyFont="1" applyFill="1" applyBorder="1" applyAlignment="1">
      <alignment horizontal="center"/>
    </xf>
    <xf numFmtId="0" fontId="3" fillId="0" borderId="0" xfId="0" applyFont="1" applyAlignment="1">
      <alignment horizontal="left"/>
    </xf>
    <xf numFmtId="0" fontId="5" fillId="0" borderId="0" xfId="0" applyFont="1" applyAlignment="1">
      <alignment horizontal="center"/>
    </xf>
    <xf numFmtId="0" fontId="6" fillId="0" borderId="0" xfId="0" applyFont="1" applyAlignment="1">
      <alignment horizontal="left"/>
    </xf>
    <xf numFmtId="0" fontId="5" fillId="0" borderId="0" xfId="0" applyFont="1"/>
    <xf numFmtId="0" fontId="7" fillId="0" borderId="0" xfId="0" applyFont="1" applyAlignment="1">
      <alignment horizontal="center"/>
    </xf>
    <xf numFmtId="0" fontId="7" fillId="0" borderId="0" xfId="0" applyFont="1" applyAlignment="1">
      <alignment horizontal="left"/>
    </xf>
    <xf numFmtId="0" fontId="2" fillId="2" borderId="2" xfId="0" applyFont="1" applyFill="1" applyBorder="1" applyAlignment="1">
      <alignment horizontal="center"/>
    </xf>
    <xf numFmtId="0" fontId="2" fillId="2" borderId="3" xfId="0" applyFont="1" applyFill="1" applyBorder="1" applyAlignment="1">
      <alignment horizontal="center"/>
    </xf>
    <xf numFmtId="0" fontId="2" fillId="3" borderId="4" xfId="0" applyFont="1" applyFill="1" applyBorder="1" applyAlignment="1">
      <alignment horizontal="center"/>
    </xf>
    <xf numFmtId="0" fontId="2" fillId="4" borderId="5" xfId="0" applyFont="1" applyFill="1" applyBorder="1" applyAlignment="1">
      <alignment horizontal="center"/>
    </xf>
    <xf numFmtId="0" fontId="2" fillId="2" borderId="6" xfId="0" applyFont="1" applyFill="1" applyBorder="1" applyAlignment="1">
      <alignment horizontal="center"/>
    </xf>
    <xf numFmtId="0" fontId="2" fillId="3" borderId="7" xfId="0" applyFont="1" applyFill="1" applyBorder="1" applyAlignment="1">
      <alignment horizontal="center"/>
    </xf>
    <xf numFmtId="0" fontId="2" fillId="4" borderId="8" xfId="0" applyFont="1" applyFill="1" applyBorder="1" applyAlignment="1">
      <alignment horizontal="center"/>
    </xf>
    <xf numFmtId="0" fontId="2" fillId="2" borderId="9" xfId="0" applyFont="1" applyFill="1" applyBorder="1" applyAlignment="1">
      <alignment horizontal="center"/>
    </xf>
    <xf numFmtId="0" fontId="2" fillId="2" borderId="10" xfId="0" applyFont="1" applyFill="1" applyBorder="1" applyAlignment="1">
      <alignment horizontal="center"/>
    </xf>
    <xf numFmtId="0" fontId="2" fillId="3" borderId="11" xfId="0" applyFont="1" applyFill="1" applyBorder="1" applyAlignment="1">
      <alignment horizontal="center"/>
    </xf>
    <xf numFmtId="0" fontId="2" fillId="4" borderId="12" xfId="0" applyFont="1" applyFill="1" applyBorder="1" applyAlignment="1">
      <alignment horizontal="center"/>
    </xf>
    <xf numFmtId="0" fontId="8" fillId="0" borderId="0" xfId="0" applyFont="1" applyAlignment="1">
      <alignment horizontal="center" vertical="center"/>
    </xf>
    <xf numFmtId="12" fontId="9" fillId="0" borderId="0" xfId="0" applyNumberFormat="1" applyFont="1" applyAlignment="1">
      <alignment horizontal="center" vertical="center"/>
    </xf>
    <xf numFmtId="0" fontId="5" fillId="0" borderId="0" xfId="0" applyFont="1" applyAlignment="1">
      <alignment horizontal="center" vertical="center"/>
    </xf>
    <xf numFmtId="0" fontId="10" fillId="0" borderId="0" xfId="0" applyFont="1" applyAlignment="1">
      <alignment horizontal="center" vertical="center"/>
    </xf>
    <xf numFmtId="0" fontId="11" fillId="0" borderId="0" xfId="0" applyFont="1" applyAlignment="1">
      <alignment horizontal="center" vertical="center"/>
    </xf>
    <xf numFmtId="0" fontId="12" fillId="0" borderId="0" xfId="0" applyFont="1"/>
    <xf numFmtId="0" fontId="7" fillId="0" borderId="0" xfId="0" applyFont="1"/>
    <xf numFmtId="164" fontId="4" fillId="0" borderId="0" xfId="0" applyNumberFormat="1" applyFont="1" applyAlignment="1">
      <alignment horizontal="center"/>
    </xf>
    <xf numFmtId="0" fontId="12" fillId="0" borderId="0" xfId="0" applyFont="1" applyAlignment="1">
      <alignment horizontal="center"/>
    </xf>
    <xf numFmtId="0" fontId="12" fillId="0" borderId="13" xfId="0" applyFont="1" applyBorder="1" applyAlignment="1">
      <alignment horizontal="center"/>
    </xf>
    <xf numFmtId="0" fontId="12" fillId="0" borderId="14" xfId="0" applyFont="1" applyBorder="1" applyAlignment="1">
      <alignment horizontal="center"/>
    </xf>
    <xf numFmtId="0" fontId="12" fillId="4" borderId="15" xfId="0" applyFont="1" applyFill="1" applyBorder="1" applyAlignment="1">
      <alignment horizontal="center"/>
    </xf>
    <xf numFmtId="0" fontId="13" fillId="0" borderId="0" xfId="0" applyFont="1" applyAlignment="1">
      <alignment horizontal="left" vertical="center"/>
    </xf>
    <xf numFmtId="0" fontId="2" fillId="0" borderId="0" xfId="0" applyFont="1" applyAlignment="1">
      <alignment vertical="center"/>
    </xf>
    <xf numFmtId="0" fontId="0" fillId="0" borderId="0" xfId="0" applyAlignment="1">
      <alignment horizontal="center"/>
    </xf>
    <xf numFmtId="0" fontId="0" fillId="0" borderId="16" xfId="0" applyBorder="1"/>
    <xf numFmtId="0" fontId="0" fillId="0" borderId="16" xfId="0" applyBorder="1" applyAlignment="1">
      <alignment horizontal="center"/>
    </xf>
    <xf numFmtId="0" fontId="2" fillId="2" borderId="17" xfId="0" applyFont="1" applyFill="1" applyBorder="1" applyAlignment="1">
      <alignment horizontal="center"/>
    </xf>
    <xf numFmtId="0" fontId="0" fillId="5" borderId="16" xfId="0" applyFill="1" applyBorder="1" applyAlignment="1">
      <alignment horizontal="center"/>
    </xf>
    <xf numFmtId="0" fontId="1" fillId="0" borderId="0" xfId="0" applyFont="1" applyAlignment="1">
      <alignment vertical="center"/>
    </xf>
    <xf numFmtId="0" fontId="15" fillId="0" borderId="0" xfId="0" applyFont="1" applyAlignment="1">
      <alignment horizontal="left"/>
    </xf>
    <xf numFmtId="0" fontId="2" fillId="2" borderId="18" xfId="0" applyFont="1" applyFill="1" applyBorder="1" applyAlignment="1">
      <alignment horizontal="center"/>
    </xf>
    <xf numFmtId="0" fontId="0" fillId="6" borderId="16" xfId="0" applyFill="1" applyBorder="1" applyAlignment="1">
      <alignment horizontal="center"/>
    </xf>
    <xf numFmtId="0" fontId="12" fillId="0" borderId="1" xfId="0" applyFont="1" applyBorder="1" applyAlignment="1">
      <alignment horizontal="center"/>
    </xf>
    <xf numFmtId="0" fontId="12" fillId="0" borderId="16" xfId="0" applyFont="1" applyBorder="1" applyAlignment="1">
      <alignment horizontal="center"/>
    </xf>
    <xf numFmtId="0" fontId="12" fillId="0" borderId="19" xfId="0" applyFont="1" applyBorder="1" applyAlignment="1">
      <alignment horizontal="center"/>
    </xf>
    <xf numFmtId="0" fontId="12" fillId="0" borderId="20" xfId="0" applyFont="1" applyBorder="1" applyAlignment="1">
      <alignment horizontal="center"/>
    </xf>
    <xf numFmtId="0" fontId="12" fillId="4" borderId="21" xfId="0" applyFont="1" applyFill="1" applyBorder="1" applyAlignment="1">
      <alignment horizontal="center"/>
    </xf>
    <xf numFmtId="0" fontId="12" fillId="0" borderId="22" xfId="0" applyFont="1" applyBorder="1" applyAlignment="1">
      <alignment horizontal="center"/>
    </xf>
    <xf numFmtId="0" fontId="12" fillId="4" borderId="23" xfId="0" applyFont="1" applyFill="1" applyBorder="1" applyAlignment="1">
      <alignment horizontal="center"/>
    </xf>
    <xf numFmtId="0" fontId="12" fillId="0" borderId="24" xfId="0" applyFont="1" applyBorder="1" applyAlignment="1">
      <alignment horizontal="center"/>
    </xf>
    <xf numFmtId="0" fontId="12" fillId="0" borderId="25" xfId="0" applyFont="1" applyBorder="1" applyAlignment="1">
      <alignment horizontal="center"/>
    </xf>
    <xf numFmtId="0" fontId="12" fillId="4" borderId="26" xfId="0" applyFont="1" applyFill="1" applyBorder="1" applyAlignment="1">
      <alignment horizontal="center"/>
    </xf>
    <xf numFmtId="0" fontId="2" fillId="2" borderId="27" xfId="0" applyFont="1" applyFill="1" applyBorder="1" applyAlignment="1">
      <alignment horizontal="center"/>
    </xf>
    <xf numFmtId="0" fontId="2" fillId="2" borderId="28" xfId="0" applyFont="1" applyFill="1" applyBorder="1" applyAlignment="1">
      <alignment horizontal="center"/>
    </xf>
    <xf numFmtId="0" fontId="2" fillId="3" borderId="29" xfId="0" applyFont="1" applyFill="1" applyBorder="1" applyAlignment="1">
      <alignment horizontal="center"/>
    </xf>
    <xf numFmtId="0" fontId="2" fillId="4" borderId="30" xfId="0" applyFont="1" applyFill="1" applyBorder="1" applyAlignment="1">
      <alignment horizontal="center"/>
    </xf>
    <xf numFmtId="0" fontId="2" fillId="2" borderId="31" xfId="0" applyFont="1" applyFill="1" applyBorder="1" applyAlignment="1">
      <alignment horizontal="center"/>
    </xf>
    <xf numFmtId="0" fontId="2" fillId="4" borderId="32" xfId="0" applyFont="1" applyFill="1" applyBorder="1" applyAlignment="1">
      <alignment horizontal="center"/>
    </xf>
    <xf numFmtId="0" fontId="2" fillId="2" borderId="33" xfId="0" applyFont="1" applyFill="1" applyBorder="1" applyAlignment="1">
      <alignment horizontal="center"/>
    </xf>
    <xf numFmtId="0" fontId="2" fillId="4" borderId="34" xfId="0" applyFont="1" applyFill="1" applyBorder="1" applyAlignment="1">
      <alignment horizontal="center"/>
    </xf>
    <xf numFmtId="0" fontId="2" fillId="2" borderId="35" xfId="0" applyFont="1" applyFill="1" applyBorder="1" applyAlignment="1">
      <alignment horizontal="center"/>
    </xf>
    <xf numFmtId="0" fontId="2" fillId="2" borderId="36" xfId="0" applyFont="1" applyFill="1" applyBorder="1" applyAlignment="1">
      <alignment horizontal="center"/>
    </xf>
    <xf numFmtId="0" fontId="2" fillId="3" borderId="37" xfId="0" applyFont="1" applyFill="1" applyBorder="1" applyAlignment="1">
      <alignment horizontal="center"/>
    </xf>
    <xf numFmtId="0" fontId="2" fillId="4" borderId="38" xfId="0" applyFont="1" applyFill="1" applyBorder="1" applyAlignment="1">
      <alignment horizontal="center"/>
    </xf>
    <xf numFmtId="0" fontId="0" fillId="0" borderId="39" xfId="0" applyBorder="1" applyAlignment="1">
      <alignment horizontal="center"/>
    </xf>
    <xf numFmtId="0" fontId="14" fillId="0" borderId="0" xfId="0" applyFont="1"/>
    <xf numFmtId="0" fontId="2" fillId="0" borderId="0" xfId="0" applyFont="1" applyAlignment="1">
      <alignment horizontal="left" vertical="center"/>
    </xf>
    <xf numFmtId="0" fontId="2" fillId="0" borderId="0" xfId="0" applyFont="1" applyAlignment="1">
      <alignment horizontal="left"/>
    </xf>
    <xf numFmtId="0" fontId="15" fillId="0" borderId="0" xfId="1" applyFont="1" applyAlignment="1">
      <alignment wrapText="1"/>
    </xf>
    <xf numFmtId="0" fontId="15" fillId="0" borderId="0" xfId="1" applyFont="1"/>
    <xf numFmtId="0" fontId="15" fillId="0" borderId="0" xfId="1" applyFont="1" applyAlignment="1">
      <alignment horizontal="left" wrapText="1"/>
    </xf>
  </cellXfs>
  <cellStyles count="2">
    <cellStyle name="Normal 2" xfId="1" xr:uid="{04E75B4F-6247-D741-8D5F-74C3E14728FD}"/>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openxmlformats.org/officeDocument/2006/relationships/externalLink" Target="externalLinks/externalLink1.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eetMetadata" Target="metadata.xml"/></Relationships>
</file>

<file path=xl/drawings/drawing1.xml><?xml version="1.0" encoding="utf-8"?>
<xdr:wsDr xmlns:xdr="http://schemas.openxmlformats.org/drawingml/2006/spreadsheetDrawing" xmlns:a="http://schemas.openxmlformats.org/drawingml/2006/main">
  <xdr:oneCellAnchor>
    <xdr:from>
      <xdr:col>21</xdr:col>
      <xdr:colOff>225180</xdr:colOff>
      <xdr:row>4</xdr:row>
      <xdr:rowOff>134327</xdr:rowOff>
    </xdr:from>
    <xdr:ext cx="1857375" cy="4615473"/>
    <xdr:grpSp>
      <xdr:nvGrpSpPr>
        <xdr:cNvPr id="2" name="Shape 2" title="Drawing">
          <a:extLst>
            <a:ext uri="{FF2B5EF4-FFF2-40B4-BE49-F238E27FC236}">
              <a16:creationId xmlns:a16="http://schemas.microsoft.com/office/drawing/2014/main" id="{00000000-0008-0000-0000-000002000000}"/>
            </a:ext>
          </a:extLst>
        </xdr:cNvPr>
        <xdr:cNvGrpSpPr/>
      </xdr:nvGrpSpPr>
      <xdr:grpSpPr>
        <a:xfrm>
          <a:off x="5141894" y="987041"/>
          <a:ext cx="1857375" cy="4615473"/>
          <a:chOff x="1834100" y="447825"/>
          <a:chExt cx="1837850" cy="4598419"/>
        </a:xfrm>
      </xdr:grpSpPr>
      <xdr:sp macro="" textlink="">
        <xdr:nvSpPr>
          <xdr:cNvPr id="3" name="Shape 3">
            <a:extLst>
              <a:ext uri="{FF2B5EF4-FFF2-40B4-BE49-F238E27FC236}">
                <a16:creationId xmlns:a16="http://schemas.microsoft.com/office/drawing/2014/main" id="{00000000-0008-0000-0000-000003000000}"/>
              </a:ext>
            </a:extLst>
          </xdr:cNvPr>
          <xdr:cNvSpPr/>
        </xdr:nvSpPr>
        <xdr:spPr>
          <a:xfrm>
            <a:off x="2199175" y="447825"/>
            <a:ext cx="636900" cy="597000"/>
          </a:xfrm>
          <a:prstGeom prst="ellipse">
            <a:avLst/>
          </a:prstGeom>
          <a:solidFill>
            <a:srgbClr val="FFF2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1300"/>
              <a:t>X</a:t>
            </a:r>
            <a:r>
              <a:rPr lang="en-US" sz="1000"/>
              <a:t>t</a:t>
            </a:r>
            <a:endParaRPr sz="1000"/>
          </a:p>
        </xdr:txBody>
      </xdr:sp>
      <xdr:sp macro="" textlink="">
        <xdr:nvSpPr>
          <xdr:cNvPr id="4" name="Shape 4">
            <a:extLst>
              <a:ext uri="{FF2B5EF4-FFF2-40B4-BE49-F238E27FC236}">
                <a16:creationId xmlns:a16="http://schemas.microsoft.com/office/drawing/2014/main" id="{00000000-0008-0000-0000-000004000000}"/>
              </a:ext>
            </a:extLst>
          </xdr:cNvPr>
          <xdr:cNvSpPr/>
        </xdr:nvSpPr>
        <xdr:spPr>
          <a:xfrm>
            <a:off x="2199175" y="3078932"/>
            <a:ext cx="636900" cy="597000"/>
          </a:xfrm>
          <a:prstGeom prst="ellipse">
            <a:avLst/>
          </a:prstGeom>
          <a:solidFill>
            <a:srgbClr val="D9EAD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1400"/>
              <a:t>H</a:t>
            </a:r>
            <a:r>
              <a:rPr lang="en-US" sz="1000"/>
              <a:t>t</a:t>
            </a:r>
            <a:endParaRPr sz="1000"/>
          </a:p>
        </xdr:txBody>
      </xdr:sp>
      <xdr:sp macro="" textlink="">
        <xdr:nvSpPr>
          <xdr:cNvPr id="5" name="Shape 5">
            <a:extLst>
              <a:ext uri="{FF2B5EF4-FFF2-40B4-BE49-F238E27FC236}">
                <a16:creationId xmlns:a16="http://schemas.microsoft.com/office/drawing/2014/main" id="{00000000-0008-0000-0000-000005000000}"/>
              </a:ext>
            </a:extLst>
          </xdr:cNvPr>
          <xdr:cNvSpPr/>
        </xdr:nvSpPr>
        <xdr:spPr>
          <a:xfrm>
            <a:off x="2277100" y="4574644"/>
            <a:ext cx="477600" cy="471600"/>
          </a:xfrm>
          <a:prstGeom prst="ellipse">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1200"/>
              <a:t>Y</a:t>
            </a:r>
            <a:r>
              <a:rPr lang="en-US" sz="1000"/>
              <a:t>t</a:t>
            </a:r>
            <a:endParaRPr sz="1000"/>
          </a:p>
        </xdr:txBody>
      </xdr:sp>
      <xdr:cxnSp macro="">
        <xdr:nvCxnSpPr>
          <xdr:cNvPr id="6" name="Shape 6">
            <a:extLst>
              <a:ext uri="{FF2B5EF4-FFF2-40B4-BE49-F238E27FC236}">
                <a16:creationId xmlns:a16="http://schemas.microsoft.com/office/drawing/2014/main" id="{00000000-0008-0000-0000-000006000000}"/>
              </a:ext>
            </a:extLst>
          </xdr:cNvPr>
          <xdr:cNvCxnSpPr>
            <a:stCxn id="3" idx="4"/>
            <a:endCxn id="7" idx="0"/>
          </xdr:cNvCxnSpPr>
        </xdr:nvCxnSpPr>
        <xdr:spPr>
          <a:xfrm flipH="1">
            <a:off x="2514175" y="1044825"/>
            <a:ext cx="3449" cy="1064017"/>
          </a:xfrm>
          <a:prstGeom prst="straightConnector1">
            <a:avLst/>
          </a:prstGeom>
          <a:noFill/>
          <a:ln w="9525" cap="flat" cmpd="sng">
            <a:solidFill>
              <a:srgbClr val="000000"/>
            </a:solidFill>
            <a:prstDash val="solid"/>
            <a:round/>
            <a:headEnd type="none" w="med" len="med"/>
            <a:tailEnd type="stealth" w="med" len="med"/>
          </a:ln>
        </xdr:spPr>
      </xdr:cxnSp>
      <xdr:cxnSp macro="">
        <xdr:nvCxnSpPr>
          <xdr:cNvPr id="8" name="Shape 8">
            <a:extLst>
              <a:ext uri="{FF2B5EF4-FFF2-40B4-BE49-F238E27FC236}">
                <a16:creationId xmlns:a16="http://schemas.microsoft.com/office/drawing/2014/main" id="{00000000-0008-0000-0000-000008000000}"/>
              </a:ext>
            </a:extLst>
          </xdr:cNvPr>
          <xdr:cNvCxnSpPr>
            <a:stCxn id="4" idx="4"/>
            <a:endCxn id="9" idx="0"/>
          </xdr:cNvCxnSpPr>
        </xdr:nvCxnSpPr>
        <xdr:spPr>
          <a:xfrm flipH="1">
            <a:off x="2515900" y="3675932"/>
            <a:ext cx="1725" cy="243213"/>
          </a:xfrm>
          <a:prstGeom prst="straightConnector1">
            <a:avLst/>
          </a:prstGeom>
          <a:noFill/>
          <a:ln w="9525" cap="flat" cmpd="sng">
            <a:solidFill>
              <a:srgbClr val="000000"/>
            </a:solidFill>
            <a:prstDash val="solid"/>
            <a:round/>
            <a:headEnd type="none" w="med" len="med"/>
            <a:tailEnd type="stealth" w="med" len="med"/>
          </a:ln>
        </xdr:spPr>
      </xdr:cxnSp>
      <xdr:sp macro="" textlink="">
        <xdr:nvSpPr>
          <xdr:cNvPr id="10" name="Shape 10">
            <a:extLst>
              <a:ext uri="{FF2B5EF4-FFF2-40B4-BE49-F238E27FC236}">
                <a16:creationId xmlns:a16="http://schemas.microsoft.com/office/drawing/2014/main" id="{00000000-0008-0000-0000-00000A000000}"/>
              </a:ext>
            </a:extLst>
          </xdr:cNvPr>
          <xdr:cNvSpPr/>
        </xdr:nvSpPr>
        <xdr:spPr>
          <a:xfrm>
            <a:off x="1834100" y="1122675"/>
            <a:ext cx="636900" cy="597000"/>
          </a:xfrm>
          <a:prstGeom prst="ellipse">
            <a:avLst/>
          </a:prstGeom>
          <a:solidFill>
            <a:srgbClr val="D9EAD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300"/>
          </a:p>
        </xdr:txBody>
      </xdr:sp>
      <xdr:sp macro="" textlink="">
        <xdr:nvSpPr>
          <xdr:cNvPr id="11" name="Shape 11">
            <a:extLst>
              <a:ext uri="{FF2B5EF4-FFF2-40B4-BE49-F238E27FC236}">
                <a16:creationId xmlns:a16="http://schemas.microsoft.com/office/drawing/2014/main" id="{00000000-0008-0000-0000-00000B000000}"/>
              </a:ext>
            </a:extLst>
          </xdr:cNvPr>
          <xdr:cNvSpPr txBox="1"/>
        </xdr:nvSpPr>
        <xdr:spPr>
          <a:xfrm>
            <a:off x="2488050" y="1211113"/>
            <a:ext cx="477600" cy="3693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200"/>
              <a:t>Wx</a:t>
            </a:r>
            <a:endParaRPr sz="1200"/>
          </a:p>
        </xdr:txBody>
      </xdr:sp>
      <xdr:cxnSp macro="">
        <xdr:nvCxnSpPr>
          <xdr:cNvPr id="12" name="Shape 12">
            <a:extLst>
              <a:ext uri="{FF2B5EF4-FFF2-40B4-BE49-F238E27FC236}">
                <a16:creationId xmlns:a16="http://schemas.microsoft.com/office/drawing/2014/main" id="{00000000-0008-0000-0000-00000C000000}"/>
              </a:ext>
            </a:extLst>
          </xdr:cNvPr>
          <xdr:cNvCxnSpPr>
            <a:stCxn id="10" idx="4"/>
            <a:endCxn id="7" idx="0"/>
          </xdr:cNvCxnSpPr>
        </xdr:nvCxnSpPr>
        <xdr:spPr>
          <a:xfrm>
            <a:off x="2152550" y="1719675"/>
            <a:ext cx="361625" cy="389167"/>
          </a:xfrm>
          <a:prstGeom prst="straightConnector1">
            <a:avLst/>
          </a:prstGeom>
          <a:noFill/>
          <a:ln w="9525" cap="flat" cmpd="sng">
            <a:solidFill>
              <a:srgbClr val="000000"/>
            </a:solidFill>
            <a:prstDash val="solid"/>
            <a:round/>
            <a:headEnd type="none" w="med" len="med"/>
            <a:tailEnd type="stealth" w="med" len="med"/>
          </a:ln>
        </xdr:spPr>
      </xdr:cxnSp>
      <xdr:sp macro="" textlink="">
        <xdr:nvSpPr>
          <xdr:cNvPr id="13" name="Shape 13">
            <a:extLst>
              <a:ext uri="{FF2B5EF4-FFF2-40B4-BE49-F238E27FC236}">
                <a16:creationId xmlns:a16="http://schemas.microsoft.com/office/drawing/2014/main" id="{00000000-0008-0000-0000-00000D000000}"/>
              </a:ext>
            </a:extLst>
          </xdr:cNvPr>
          <xdr:cNvSpPr txBox="1"/>
        </xdr:nvSpPr>
        <xdr:spPr>
          <a:xfrm>
            <a:off x="1913750" y="1739763"/>
            <a:ext cx="477600" cy="3693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200"/>
              <a:t>Wh</a:t>
            </a:r>
            <a:endParaRPr sz="1200"/>
          </a:p>
        </xdr:txBody>
      </xdr:sp>
      <xdr:sp macro="" textlink="">
        <xdr:nvSpPr>
          <xdr:cNvPr id="14" name="Shape 14">
            <a:extLst>
              <a:ext uri="{FF2B5EF4-FFF2-40B4-BE49-F238E27FC236}">
                <a16:creationId xmlns:a16="http://schemas.microsoft.com/office/drawing/2014/main" id="{00000000-0008-0000-0000-00000E000000}"/>
              </a:ext>
            </a:extLst>
          </xdr:cNvPr>
          <xdr:cNvSpPr txBox="1"/>
        </xdr:nvSpPr>
        <xdr:spPr>
          <a:xfrm>
            <a:off x="1910300" y="1221075"/>
            <a:ext cx="636900" cy="4002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t>H</a:t>
            </a:r>
            <a:r>
              <a:rPr lang="en-US" sz="1000"/>
              <a:t>t-1</a:t>
            </a:r>
            <a:endParaRPr sz="1000"/>
          </a:p>
        </xdr:txBody>
      </xdr:sp>
      <xdr:sp macro="" textlink="">
        <xdr:nvSpPr>
          <xdr:cNvPr id="15" name="Shape 15">
            <a:extLst>
              <a:ext uri="{FF2B5EF4-FFF2-40B4-BE49-F238E27FC236}">
                <a16:creationId xmlns:a16="http://schemas.microsoft.com/office/drawing/2014/main" id="{00000000-0008-0000-0000-00000F000000}"/>
              </a:ext>
            </a:extLst>
          </xdr:cNvPr>
          <xdr:cNvSpPr/>
        </xdr:nvSpPr>
        <xdr:spPr>
          <a:xfrm>
            <a:off x="3035050" y="1122675"/>
            <a:ext cx="636900" cy="597000"/>
          </a:xfrm>
          <a:prstGeom prst="ellipse">
            <a:avLst/>
          </a:prstGeom>
          <a:solidFill>
            <a:srgbClr val="D9EAD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1400"/>
              <a:t>H</a:t>
            </a:r>
            <a:r>
              <a:rPr lang="en-US" sz="1000"/>
              <a:t>t</a:t>
            </a:r>
            <a:endParaRPr sz="1000"/>
          </a:p>
        </xdr:txBody>
      </xdr:sp>
      <xdr:cxnSp macro="">
        <xdr:nvCxnSpPr>
          <xdr:cNvPr id="16" name="Shape 16">
            <a:extLst>
              <a:ext uri="{FF2B5EF4-FFF2-40B4-BE49-F238E27FC236}">
                <a16:creationId xmlns:a16="http://schemas.microsoft.com/office/drawing/2014/main" id="{00000000-0008-0000-0000-000010000000}"/>
              </a:ext>
            </a:extLst>
          </xdr:cNvPr>
          <xdr:cNvCxnSpPr>
            <a:stCxn id="4" idx="6"/>
            <a:endCxn id="15" idx="2"/>
          </xdr:cNvCxnSpPr>
        </xdr:nvCxnSpPr>
        <xdr:spPr>
          <a:xfrm flipV="1">
            <a:off x="2836074" y="1421175"/>
            <a:ext cx="198976" cy="1956257"/>
          </a:xfrm>
          <a:prstGeom prst="curvedConnector3">
            <a:avLst>
              <a:gd name="adj1" fmla="val 50000"/>
            </a:avLst>
          </a:prstGeom>
          <a:noFill/>
          <a:ln w="9525" cap="flat" cmpd="sng">
            <a:solidFill>
              <a:srgbClr val="6AA84F"/>
            </a:solidFill>
            <a:prstDash val="dash"/>
            <a:round/>
            <a:headEnd type="none" w="med" len="med"/>
            <a:tailEnd type="triangle" w="med" len="med"/>
          </a:ln>
        </xdr:spPr>
      </xdr:cxnSp>
      <xdr:sp macro="" textlink="">
        <xdr:nvSpPr>
          <xdr:cNvPr id="7" name="Shape 7">
            <a:extLst>
              <a:ext uri="{FF2B5EF4-FFF2-40B4-BE49-F238E27FC236}">
                <a16:creationId xmlns:a16="http://schemas.microsoft.com/office/drawing/2014/main" id="{00000000-0008-0000-0000-000007000000}"/>
              </a:ext>
            </a:extLst>
          </xdr:cNvPr>
          <xdr:cNvSpPr/>
        </xdr:nvSpPr>
        <xdr:spPr>
          <a:xfrm>
            <a:off x="2195725" y="2108842"/>
            <a:ext cx="636900" cy="597000"/>
          </a:xfrm>
          <a:prstGeom prst="ellipse">
            <a:avLst/>
          </a:prstGeom>
          <a:solidFill>
            <a:srgbClr val="FFFFFF"/>
          </a:solidFill>
          <a:ln w="9525" cap="flat" cmpd="sng">
            <a:solidFill>
              <a:srgbClr val="000000"/>
            </a:solidFill>
            <a:prstDash val="dot"/>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1400"/>
              <a:t>F</a:t>
            </a:r>
            <a:r>
              <a:rPr lang="en-US" sz="1000"/>
              <a:t>t</a:t>
            </a:r>
            <a:endParaRPr sz="1000"/>
          </a:p>
        </xdr:txBody>
      </xdr:sp>
      <xdr:cxnSp macro="">
        <xdr:nvCxnSpPr>
          <xdr:cNvPr id="17" name="Shape 17">
            <a:extLst>
              <a:ext uri="{FF2B5EF4-FFF2-40B4-BE49-F238E27FC236}">
                <a16:creationId xmlns:a16="http://schemas.microsoft.com/office/drawing/2014/main" id="{00000000-0008-0000-0000-000011000000}"/>
              </a:ext>
            </a:extLst>
          </xdr:cNvPr>
          <xdr:cNvCxnSpPr>
            <a:stCxn id="7" idx="4"/>
            <a:endCxn id="4" idx="0"/>
          </xdr:cNvCxnSpPr>
        </xdr:nvCxnSpPr>
        <xdr:spPr>
          <a:xfrm>
            <a:off x="2514175" y="2705842"/>
            <a:ext cx="3449" cy="373090"/>
          </a:xfrm>
          <a:prstGeom prst="straightConnector1">
            <a:avLst/>
          </a:prstGeom>
          <a:noFill/>
          <a:ln w="9525" cap="flat" cmpd="sng">
            <a:solidFill>
              <a:srgbClr val="000000"/>
            </a:solidFill>
            <a:prstDash val="solid"/>
            <a:round/>
            <a:headEnd type="none" w="med" len="med"/>
            <a:tailEnd type="stealth" w="med" len="med"/>
          </a:ln>
        </xdr:spPr>
      </xdr:cxnSp>
      <xdr:sp macro="" textlink="">
        <xdr:nvSpPr>
          <xdr:cNvPr id="9" name="Shape 9">
            <a:extLst>
              <a:ext uri="{FF2B5EF4-FFF2-40B4-BE49-F238E27FC236}">
                <a16:creationId xmlns:a16="http://schemas.microsoft.com/office/drawing/2014/main" id="{00000000-0008-0000-0000-000009000000}"/>
              </a:ext>
            </a:extLst>
          </xdr:cNvPr>
          <xdr:cNvSpPr/>
        </xdr:nvSpPr>
        <xdr:spPr>
          <a:xfrm>
            <a:off x="2277100" y="3919145"/>
            <a:ext cx="477600" cy="471600"/>
          </a:xfrm>
          <a:prstGeom prst="ellipse">
            <a:avLst/>
          </a:prstGeom>
          <a:solidFill>
            <a:srgbClr val="FFFFFF"/>
          </a:solidFill>
          <a:ln w="9525" cap="flat" cmpd="sng">
            <a:solidFill>
              <a:srgbClr val="000000"/>
            </a:solidFill>
            <a:prstDash val="dot"/>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1400"/>
              <a:t>o</a:t>
            </a:r>
            <a:r>
              <a:rPr lang="en-US" sz="1000"/>
              <a:t>t</a:t>
            </a:r>
            <a:endParaRPr sz="1000"/>
          </a:p>
        </xdr:txBody>
      </xdr:sp>
      <xdr:cxnSp macro="">
        <xdr:nvCxnSpPr>
          <xdr:cNvPr id="18" name="Shape 18">
            <a:extLst>
              <a:ext uri="{FF2B5EF4-FFF2-40B4-BE49-F238E27FC236}">
                <a16:creationId xmlns:a16="http://schemas.microsoft.com/office/drawing/2014/main" id="{00000000-0008-0000-0000-000012000000}"/>
              </a:ext>
            </a:extLst>
          </xdr:cNvPr>
          <xdr:cNvCxnSpPr>
            <a:stCxn id="9" idx="4"/>
            <a:endCxn id="5" idx="0"/>
          </xdr:cNvCxnSpPr>
        </xdr:nvCxnSpPr>
        <xdr:spPr>
          <a:xfrm>
            <a:off x="2515900" y="4390745"/>
            <a:ext cx="0" cy="183899"/>
          </a:xfrm>
          <a:prstGeom prst="straightConnector1">
            <a:avLst/>
          </a:prstGeom>
          <a:noFill/>
          <a:ln w="9525" cap="flat" cmpd="sng">
            <a:solidFill>
              <a:srgbClr val="000000"/>
            </a:solidFill>
            <a:prstDash val="solid"/>
            <a:round/>
            <a:headEnd type="none" w="med" len="med"/>
            <a:tailEnd type="stealth" w="med" len="med"/>
          </a:ln>
        </xdr:spPr>
      </xdr:cxnSp>
    </xdr:grpSp>
    <xdr:clientData fLocksWithSheet="0"/>
  </xdr:oneCellAnchor>
  <xdr:twoCellAnchor>
    <xdr:from>
      <xdr:col>18</xdr:col>
      <xdr:colOff>48846</xdr:colOff>
      <xdr:row>9</xdr:row>
      <xdr:rowOff>115149</xdr:rowOff>
    </xdr:from>
    <xdr:to>
      <xdr:col>19</xdr:col>
      <xdr:colOff>214923</xdr:colOff>
      <xdr:row>20</xdr:row>
      <xdr:rowOff>136770</xdr:rowOff>
    </xdr:to>
    <xdr:sp macro="" textlink="">
      <xdr:nvSpPr>
        <xdr:cNvPr id="24" name="Freeform 23">
          <a:extLst>
            <a:ext uri="{FF2B5EF4-FFF2-40B4-BE49-F238E27FC236}">
              <a16:creationId xmlns:a16="http://schemas.microsoft.com/office/drawing/2014/main" id="{88BAF3A2-CD42-D307-CF1F-C24F0481F9AD}"/>
            </a:ext>
          </a:extLst>
        </xdr:cNvPr>
        <xdr:cNvSpPr/>
      </xdr:nvSpPr>
      <xdr:spPr>
        <a:xfrm>
          <a:off x="4327769" y="1805226"/>
          <a:ext cx="293077" cy="2004775"/>
        </a:xfrm>
        <a:custGeom>
          <a:avLst/>
          <a:gdLst>
            <a:gd name="connsiteX0" fmla="*/ 0 w 293077"/>
            <a:gd name="connsiteY0" fmla="*/ 2004775 h 2004775"/>
            <a:gd name="connsiteX1" fmla="*/ 97693 w 293077"/>
            <a:gd name="connsiteY1" fmla="*/ 1438159 h 2004775"/>
            <a:gd name="connsiteX2" fmla="*/ 97693 w 293077"/>
            <a:gd name="connsiteY2" fmla="*/ 246313 h 2004775"/>
            <a:gd name="connsiteX3" fmla="*/ 166077 w 293077"/>
            <a:gd name="connsiteY3" fmla="*/ 21621 h 2004775"/>
            <a:gd name="connsiteX4" fmla="*/ 293077 w 293077"/>
            <a:gd name="connsiteY4" fmla="*/ 21621 h 200477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93077" h="2004775">
              <a:moveTo>
                <a:pt x="0" y="2004775"/>
              </a:moveTo>
              <a:cubicBezTo>
                <a:pt x="40705" y="1868005"/>
                <a:pt x="81411" y="1731236"/>
                <a:pt x="97693" y="1438159"/>
              </a:cubicBezTo>
              <a:cubicBezTo>
                <a:pt x="113975" y="1145082"/>
                <a:pt x="86296" y="482403"/>
                <a:pt x="97693" y="246313"/>
              </a:cubicBezTo>
              <a:cubicBezTo>
                <a:pt x="109090" y="10223"/>
                <a:pt x="133513" y="59070"/>
                <a:pt x="166077" y="21621"/>
              </a:cubicBezTo>
              <a:cubicBezTo>
                <a:pt x="198641" y="-15828"/>
                <a:pt x="245859" y="2896"/>
                <a:pt x="293077" y="21621"/>
              </a:cubicBezTo>
            </a:path>
          </a:pathLst>
        </a:custGeom>
        <a:ln w="19050" cap="flat" cmpd="sng" algn="ctr">
          <a:solidFill>
            <a:schemeClr val="accent6"/>
          </a:solidFill>
          <a:prstDash val="dash"/>
          <a:round/>
          <a:headEnd type="none" w="med" len="med"/>
          <a:tailEnd type="triangle" w="med" len="med"/>
        </a:ln>
      </xdr:spPr>
      <xdr:style>
        <a:lnRef idx="0">
          <a:scrgbClr r="0" g="0" b="0"/>
        </a:lnRef>
        <a:fillRef idx="0">
          <a:scrgbClr r="0" g="0" b="0"/>
        </a:fillRef>
        <a:effectRef idx="0">
          <a:scrgbClr r="0" g="0" b="0"/>
        </a:effectRef>
        <a:fontRef idx="minor">
          <a:schemeClr val="tx1"/>
        </a:fontRef>
      </xdr:style>
      <xdr:txBody>
        <a:bodyPr vertOverflow="clip" horzOverflow="clip" rtlCol="0" anchor="t"/>
        <a:lstStyle/>
        <a:p>
          <a:pPr algn="l"/>
          <a:endParaRPr lang="en-US" sz="1100"/>
        </a:p>
      </xdr:txBody>
    </xdr:sp>
    <xdr:clientData/>
  </xdr:twoCellAnchor>
  <xdr:twoCellAnchor>
    <xdr:from>
      <xdr:col>15</xdr:col>
      <xdr:colOff>48848</xdr:colOff>
      <xdr:row>9</xdr:row>
      <xdr:rowOff>126999</xdr:rowOff>
    </xdr:from>
    <xdr:to>
      <xdr:col>16</xdr:col>
      <xdr:colOff>224694</xdr:colOff>
      <xdr:row>20</xdr:row>
      <xdr:rowOff>148620</xdr:rowOff>
    </xdr:to>
    <xdr:sp macro="" textlink="">
      <xdr:nvSpPr>
        <xdr:cNvPr id="25" name="Freeform 24">
          <a:extLst>
            <a:ext uri="{FF2B5EF4-FFF2-40B4-BE49-F238E27FC236}">
              <a16:creationId xmlns:a16="http://schemas.microsoft.com/office/drawing/2014/main" id="{B750BA6B-DD7E-2F4E-97A1-5D91E83FAF29}"/>
            </a:ext>
          </a:extLst>
        </xdr:cNvPr>
        <xdr:cNvSpPr/>
      </xdr:nvSpPr>
      <xdr:spPr>
        <a:xfrm>
          <a:off x="3722079" y="1817076"/>
          <a:ext cx="293077" cy="2004775"/>
        </a:xfrm>
        <a:custGeom>
          <a:avLst/>
          <a:gdLst>
            <a:gd name="connsiteX0" fmla="*/ 0 w 293077"/>
            <a:gd name="connsiteY0" fmla="*/ 2004775 h 2004775"/>
            <a:gd name="connsiteX1" fmla="*/ 97693 w 293077"/>
            <a:gd name="connsiteY1" fmla="*/ 1438159 h 2004775"/>
            <a:gd name="connsiteX2" fmla="*/ 97693 w 293077"/>
            <a:gd name="connsiteY2" fmla="*/ 246313 h 2004775"/>
            <a:gd name="connsiteX3" fmla="*/ 166077 w 293077"/>
            <a:gd name="connsiteY3" fmla="*/ 21621 h 2004775"/>
            <a:gd name="connsiteX4" fmla="*/ 293077 w 293077"/>
            <a:gd name="connsiteY4" fmla="*/ 21621 h 200477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93077" h="2004775">
              <a:moveTo>
                <a:pt x="0" y="2004775"/>
              </a:moveTo>
              <a:cubicBezTo>
                <a:pt x="40705" y="1868005"/>
                <a:pt x="81411" y="1731236"/>
                <a:pt x="97693" y="1438159"/>
              </a:cubicBezTo>
              <a:cubicBezTo>
                <a:pt x="113975" y="1145082"/>
                <a:pt x="86296" y="482403"/>
                <a:pt x="97693" y="246313"/>
              </a:cubicBezTo>
              <a:cubicBezTo>
                <a:pt x="109090" y="10223"/>
                <a:pt x="133513" y="59070"/>
                <a:pt x="166077" y="21621"/>
              </a:cubicBezTo>
              <a:cubicBezTo>
                <a:pt x="198641" y="-15828"/>
                <a:pt x="245859" y="2896"/>
                <a:pt x="293077" y="21621"/>
              </a:cubicBezTo>
            </a:path>
          </a:pathLst>
        </a:custGeom>
        <a:ln w="19050" cap="flat" cmpd="sng" algn="ctr">
          <a:solidFill>
            <a:schemeClr val="accent6"/>
          </a:solidFill>
          <a:prstDash val="dash"/>
          <a:round/>
          <a:headEnd type="none" w="med" len="med"/>
          <a:tailEnd type="triangle" w="med" len="med"/>
        </a:ln>
      </xdr:spPr>
      <xdr:style>
        <a:lnRef idx="0">
          <a:scrgbClr r="0" g="0" b="0"/>
        </a:lnRef>
        <a:fillRef idx="0">
          <a:scrgbClr r="0" g="0" b="0"/>
        </a:fillRef>
        <a:effectRef idx="0">
          <a:scrgbClr r="0" g="0" b="0"/>
        </a:effectRef>
        <a:fontRef idx="minor">
          <a:schemeClr val="tx1"/>
        </a:fontRef>
      </xdr:style>
      <xdr:txBody>
        <a:bodyPr vertOverflow="clip" horzOverflow="clip" rtlCol="0" anchor="t"/>
        <a:lstStyle/>
        <a:p>
          <a:pPr algn="l"/>
          <a:endParaRPr lang="en-US" sz="1100"/>
        </a:p>
      </xdr:txBody>
    </xdr:sp>
    <xdr:clientData/>
  </xdr:twoCellAnchor>
  <xdr:twoCellAnchor>
    <xdr:from>
      <xdr:col>12</xdr:col>
      <xdr:colOff>74248</xdr:colOff>
      <xdr:row>9</xdr:row>
      <xdr:rowOff>132860</xdr:rowOff>
    </xdr:from>
    <xdr:to>
      <xdr:col>13</xdr:col>
      <xdr:colOff>201248</xdr:colOff>
      <xdr:row>20</xdr:row>
      <xdr:rowOff>154481</xdr:rowOff>
    </xdr:to>
    <xdr:sp macro="" textlink="">
      <xdr:nvSpPr>
        <xdr:cNvPr id="26" name="Freeform 25">
          <a:extLst>
            <a:ext uri="{FF2B5EF4-FFF2-40B4-BE49-F238E27FC236}">
              <a16:creationId xmlns:a16="http://schemas.microsoft.com/office/drawing/2014/main" id="{6CD1CBAF-5352-AE4D-823C-2C33746040D1}"/>
            </a:ext>
          </a:extLst>
        </xdr:cNvPr>
        <xdr:cNvSpPr/>
      </xdr:nvSpPr>
      <xdr:spPr>
        <a:xfrm>
          <a:off x="3092940" y="1822937"/>
          <a:ext cx="293077" cy="2004775"/>
        </a:xfrm>
        <a:custGeom>
          <a:avLst/>
          <a:gdLst>
            <a:gd name="connsiteX0" fmla="*/ 0 w 293077"/>
            <a:gd name="connsiteY0" fmla="*/ 2004775 h 2004775"/>
            <a:gd name="connsiteX1" fmla="*/ 97693 w 293077"/>
            <a:gd name="connsiteY1" fmla="*/ 1438159 h 2004775"/>
            <a:gd name="connsiteX2" fmla="*/ 97693 w 293077"/>
            <a:gd name="connsiteY2" fmla="*/ 246313 h 2004775"/>
            <a:gd name="connsiteX3" fmla="*/ 166077 w 293077"/>
            <a:gd name="connsiteY3" fmla="*/ 21621 h 2004775"/>
            <a:gd name="connsiteX4" fmla="*/ 293077 w 293077"/>
            <a:gd name="connsiteY4" fmla="*/ 21621 h 200477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93077" h="2004775">
              <a:moveTo>
                <a:pt x="0" y="2004775"/>
              </a:moveTo>
              <a:cubicBezTo>
                <a:pt x="40705" y="1868005"/>
                <a:pt x="81411" y="1731236"/>
                <a:pt x="97693" y="1438159"/>
              </a:cubicBezTo>
              <a:cubicBezTo>
                <a:pt x="113975" y="1145082"/>
                <a:pt x="86296" y="482403"/>
                <a:pt x="97693" y="246313"/>
              </a:cubicBezTo>
              <a:cubicBezTo>
                <a:pt x="109090" y="10223"/>
                <a:pt x="133513" y="59070"/>
                <a:pt x="166077" y="21621"/>
              </a:cubicBezTo>
              <a:cubicBezTo>
                <a:pt x="198641" y="-15828"/>
                <a:pt x="245859" y="2896"/>
                <a:pt x="293077" y="21621"/>
              </a:cubicBezTo>
            </a:path>
          </a:pathLst>
        </a:custGeom>
        <a:ln w="19050" cap="flat" cmpd="sng" algn="ctr">
          <a:solidFill>
            <a:schemeClr val="accent6"/>
          </a:solidFill>
          <a:prstDash val="dash"/>
          <a:round/>
          <a:headEnd type="none" w="med" len="med"/>
          <a:tailEnd type="triangle" w="med" len="med"/>
        </a:ln>
      </xdr:spPr>
      <xdr:style>
        <a:lnRef idx="0">
          <a:scrgbClr r="0" g="0" b="0"/>
        </a:lnRef>
        <a:fillRef idx="0">
          <a:scrgbClr r="0" g="0" b="0"/>
        </a:fillRef>
        <a:effectRef idx="0">
          <a:scrgbClr r="0" g="0" b="0"/>
        </a:effectRef>
        <a:fontRef idx="minor">
          <a:schemeClr val="tx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21</xdr:col>
      <xdr:colOff>48846</xdr:colOff>
      <xdr:row>9</xdr:row>
      <xdr:rowOff>85841</xdr:rowOff>
    </xdr:from>
    <xdr:to>
      <xdr:col>22</xdr:col>
      <xdr:colOff>214923</xdr:colOff>
      <xdr:row>26</xdr:row>
      <xdr:rowOff>107463</xdr:rowOff>
    </xdr:to>
    <xdr:sp macro="" textlink="">
      <xdr:nvSpPr>
        <xdr:cNvPr id="19" name="Freeform 18">
          <a:extLst>
            <a:ext uri="{FF2B5EF4-FFF2-40B4-BE49-F238E27FC236}">
              <a16:creationId xmlns:a16="http://schemas.microsoft.com/office/drawing/2014/main" id="{9F7CD6D3-9FF3-F944-91CB-7E47E14E0A42}"/>
            </a:ext>
          </a:extLst>
        </xdr:cNvPr>
        <xdr:cNvSpPr/>
      </xdr:nvSpPr>
      <xdr:spPr>
        <a:xfrm>
          <a:off x="5340513" y="1807397"/>
          <a:ext cx="293077" cy="3055510"/>
        </a:xfrm>
        <a:custGeom>
          <a:avLst/>
          <a:gdLst>
            <a:gd name="connsiteX0" fmla="*/ 0 w 293077"/>
            <a:gd name="connsiteY0" fmla="*/ 2004775 h 2004775"/>
            <a:gd name="connsiteX1" fmla="*/ 97693 w 293077"/>
            <a:gd name="connsiteY1" fmla="*/ 1438159 h 2004775"/>
            <a:gd name="connsiteX2" fmla="*/ 97693 w 293077"/>
            <a:gd name="connsiteY2" fmla="*/ 246313 h 2004775"/>
            <a:gd name="connsiteX3" fmla="*/ 166077 w 293077"/>
            <a:gd name="connsiteY3" fmla="*/ 21621 h 2004775"/>
            <a:gd name="connsiteX4" fmla="*/ 293077 w 293077"/>
            <a:gd name="connsiteY4" fmla="*/ 21621 h 200477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93077" h="2004775">
              <a:moveTo>
                <a:pt x="0" y="2004775"/>
              </a:moveTo>
              <a:cubicBezTo>
                <a:pt x="40705" y="1868005"/>
                <a:pt x="81411" y="1731236"/>
                <a:pt x="97693" y="1438159"/>
              </a:cubicBezTo>
              <a:cubicBezTo>
                <a:pt x="113975" y="1145082"/>
                <a:pt x="86296" y="482403"/>
                <a:pt x="97693" y="246313"/>
              </a:cubicBezTo>
              <a:cubicBezTo>
                <a:pt x="109090" y="10223"/>
                <a:pt x="133513" y="59070"/>
                <a:pt x="166077" y="21621"/>
              </a:cubicBezTo>
              <a:cubicBezTo>
                <a:pt x="198641" y="-15828"/>
                <a:pt x="245859" y="2896"/>
                <a:pt x="293077" y="21621"/>
              </a:cubicBezTo>
            </a:path>
          </a:pathLst>
        </a:custGeom>
        <a:ln w="19050" cap="flat" cmpd="sng" algn="ctr">
          <a:solidFill>
            <a:schemeClr val="accent6"/>
          </a:solidFill>
          <a:prstDash val="dash"/>
          <a:round/>
          <a:headEnd type="none" w="med" len="med"/>
          <a:tailEnd type="triangle" w="med" len="med"/>
        </a:ln>
      </xdr:spPr>
      <xdr:style>
        <a:lnRef idx="0">
          <a:scrgbClr r="0" g="0" b="0"/>
        </a:lnRef>
        <a:fillRef idx="0">
          <a:scrgbClr r="0" g="0" b="0"/>
        </a:fillRef>
        <a:effectRef idx="0">
          <a:scrgbClr r="0" g="0" b="0"/>
        </a:effectRef>
        <a:fontRef idx="minor">
          <a:schemeClr val="tx1"/>
        </a:fontRef>
      </xdr:style>
      <xdr:txBody>
        <a:bodyPr vertOverflow="clip" horzOverflow="clip" rtlCol="0" anchor="t"/>
        <a:lstStyle/>
        <a:p>
          <a:pPr algn="l"/>
          <a:endParaRPr lang="en-US" sz="1100"/>
        </a:p>
      </xdr:txBody>
    </xdr:sp>
    <xdr:clientData/>
  </xdr:twoCellAnchor>
  <xdr:twoCellAnchor>
    <xdr:from>
      <xdr:col>18</xdr:col>
      <xdr:colOff>20626</xdr:colOff>
      <xdr:row>9</xdr:row>
      <xdr:rowOff>83579</xdr:rowOff>
    </xdr:from>
    <xdr:to>
      <xdr:col>19</xdr:col>
      <xdr:colOff>196472</xdr:colOff>
      <xdr:row>26</xdr:row>
      <xdr:rowOff>105201</xdr:rowOff>
    </xdr:to>
    <xdr:sp macro="" textlink="">
      <xdr:nvSpPr>
        <xdr:cNvPr id="20" name="Freeform 19">
          <a:extLst>
            <a:ext uri="{FF2B5EF4-FFF2-40B4-BE49-F238E27FC236}">
              <a16:creationId xmlns:a16="http://schemas.microsoft.com/office/drawing/2014/main" id="{4D7418EE-A718-CE46-9798-CC2615D6411A}"/>
            </a:ext>
          </a:extLst>
        </xdr:cNvPr>
        <xdr:cNvSpPr/>
      </xdr:nvSpPr>
      <xdr:spPr>
        <a:xfrm>
          <a:off x="4634959" y="1805135"/>
          <a:ext cx="288735" cy="3055510"/>
        </a:xfrm>
        <a:custGeom>
          <a:avLst/>
          <a:gdLst>
            <a:gd name="connsiteX0" fmla="*/ 0 w 293077"/>
            <a:gd name="connsiteY0" fmla="*/ 2004775 h 2004775"/>
            <a:gd name="connsiteX1" fmla="*/ 97693 w 293077"/>
            <a:gd name="connsiteY1" fmla="*/ 1438159 h 2004775"/>
            <a:gd name="connsiteX2" fmla="*/ 97693 w 293077"/>
            <a:gd name="connsiteY2" fmla="*/ 246313 h 2004775"/>
            <a:gd name="connsiteX3" fmla="*/ 166077 w 293077"/>
            <a:gd name="connsiteY3" fmla="*/ 21621 h 2004775"/>
            <a:gd name="connsiteX4" fmla="*/ 293077 w 293077"/>
            <a:gd name="connsiteY4" fmla="*/ 21621 h 200477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93077" h="2004775">
              <a:moveTo>
                <a:pt x="0" y="2004775"/>
              </a:moveTo>
              <a:cubicBezTo>
                <a:pt x="40705" y="1868005"/>
                <a:pt x="81411" y="1731236"/>
                <a:pt x="97693" y="1438159"/>
              </a:cubicBezTo>
              <a:cubicBezTo>
                <a:pt x="113975" y="1145082"/>
                <a:pt x="86296" y="482403"/>
                <a:pt x="97693" y="246313"/>
              </a:cubicBezTo>
              <a:cubicBezTo>
                <a:pt x="109090" y="10223"/>
                <a:pt x="133513" y="59070"/>
                <a:pt x="166077" y="21621"/>
              </a:cubicBezTo>
              <a:cubicBezTo>
                <a:pt x="198641" y="-15828"/>
                <a:pt x="245859" y="2896"/>
                <a:pt x="293077" y="21621"/>
              </a:cubicBezTo>
            </a:path>
          </a:pathLst>
        </a:custGeom>
        <a:ln w="19050" cap="flat" cmpd="sng" algn="ctr">
          <a:solidFill>
            <a:schemeClr val="accent6"/>
          </a:solidFill>
          <a:prstDash val="dash"/>
          <a:round/>
          <a:headEnd type="none" w="med" len="med"/>
          <a:tailEnd type="triangle" w="med" len="med"/>
        </a:ln>
      </xdr:spPr>
      <xdr:style>
        <a:lnRef idx="0">
          <a:scrgbClr r="0" g="0" b="0"/>
        </a:lnRef>
        <a:fillRef idx="0">
          <a:scrgbClr r="0" g="0" b="0"/>
        </a:fillRef>
        <a:effectRef idx="0">
          <a:scrgbClr r="0" g="0" b="0"/>
        </a:effectRef>
        <a:fontRef idx="minor">
          <a:schemeClr val="tx1"/>
        </a:fontRef>
      </xdr:style>
      <xdr:txBody>
        <a:bodyPr vertOverflow="clip" horzOverflow="clip" rtlCol="0" anchor="t"/>
        <a:lstStyle/>
        <a:p>
          <a:pPr algn="l"/>
          <a:endParaRPr lang="en-US" sz="1100"/>
        </a:p>
      </xdr:txBody>
    </xdr:sp>
    <xdr:clientData/>
  </xdr:twoCellAnchor>
  <xdr:twoCellAnchor>
    <xdr:from>
      <xdr:col>15</xdr:col>
      <xdr:colOff>84017</xdr:colOff>
      <xdr:row>9</xdr:row>
      <xdr:rowOff>98125</xdr:rowOff>
    </xdr:from>
    <xdr:to>
      <xdr:col>16</xdr:col>
      <xdr:colOff>211017</xdr:colOff>
      <xdr:row>26</xdr:row>
      <xdr:rowOff>119747</xdr:rowOff>
    </xdr:to>
    <xdr:sp macro="" textlink="">
      <xdr:nvSpPr>
        <xdr:cNvPr id="21" name="Freeform 20">
          <a:extLst>
            <a:ext uri="{FF2B5EF4-FFF2-40B4-BE49-F238E27FC236}">
              <a16:creationId xmlns:a16="http://schemas.microsoft.com/office/drawing/2014/main" id="{F8104D32-EB4F-9C40-8EC5-C9FE9094DA30}"/>
            </a:ext>
          </a:extLst>
        </xdr:cNvPr>
        <xdr:cNvSpPr/>
      </xdr:nvSpPr>
      <xdr:spPr>
        <a:xfrm>
          <a:off x="3964573" y="1819681"/>
          <a:ext cx="296333" cy="3055510"/>
        </a:xfrm>
        <a:custGeom>
          <a:avLst/>
          <a:gdLst>
            <a:gd name="connsiteX0" fmla="*/ 0 w 293077"/>
            <a:gd name="connsiteY0" fmla="*/ 2004775 h 2004775"/>
            <a:gd name="connsiteX1" fmla="*/ 97693 w 293077"/>
            <a:gd name="connsiteY1" fmla="*/ 1438159 h 2004775"/>
            <a:gd name="connsiteX2" fmla="*/ 97693 w 293077"/>
            <a:gd name="connsiteY2" fmla="*/ 246313 h 2004775"/>
            <a:gd name="connsiteX3" fmla="*/ 166077 w 293077"/>
            <a:gd name="connsiteY3" fmla="*/ 21621 h 2004775"/>
            <a:gd name="connsiteX4" fmla="*/ 293077 w 293077"/>
            <a:gd name="connsiteY4" fmla="*/ 21621 h 200477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93077" h="2004775">
              <a:moveTo>
                <a:pt x="0" y="2004775"/>
              </a:moveTo>
              <a:cubicBezTo>
                <a:pt x="40705" y="1868005"/>
                <a:pt x="81411" y="1731236"/>
                <a:pt x="97693" y="1438159"/>
              </a:cubicBezTo>
              <a:cubicBezTo>
                <a:pt x="113975" y="1145082"/>
                <a:pt x="86296" y="482403"/>
                <a:pt x="97693" y="246313"/>
              </a:cubicBezTo>
              <a:cubicBezTo>
                <a:pt x="109090" y="10223"/>
                <a:pt x="133513" y="59070"/>
                <a:pt x="166077" y="21621"/>
              </a:cubicBezTo>
              <a:cubicBezTo>
                <a:pt x="198641" y="-15828"/>
                <a:pt x="245859" y="2896"/>
                <a:pt x="293077" y="21621"/>
              </a:cubicBezTo>
            </a:path>
          </a:pathLst>
        </a:custGeom>
        <a:ln w="19050" cap="flat" cmpd="sng" algn="ctr">
          <a:solidFill>
            <a:schemeClr val="accent6"/>
          </a:solidFill>
          <a:prstDash val="dash"/>
          <a:round/>
          <a:headEnd type="none" w="med" len="med"/>
          <a:tailEnd type="triangle" w="med" len="med"/>
        </a:ln>
      </xdr:spPr>
      <xdr:style>
        <a:lnRef idx="0">
          <a:scrgbClr r="0" g="0" b="0"/>
        </a:lnRef>
        <a:fillRef idx="0">
          <a:scrgbClr r="0" g="0" b="0"/>
        </a:fillRef>
        <a:effectRef idx="0">
          <a:scrgbClr r="0" g="0" b="0"/>
        </a:effectRef>
        <a:fontRef idx="minor">
          <a:schemeClr val="tx1"/>
        </a:fontRef>
      </xdr:style>
      <xdr:txBody>
        <a:bodyPr vertOverflow="clip" horzOverflow="clip" rtlCol="0" anchor="t"/>
        <a:lstStyle/>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25</xdr:col>
      <xdr:colOff>48846</xdr:colOff>
      <xdr:row>13</xdr:row>
      <xdr:rowOff>98778</xdr:rowOff>
    </xdr:from>
    <xdr:to>
      <xdr:col>26</xdr:col>
      <xdr:colOff>197555</xdr:colOff>
      <xdr:row>30</xdr:row>
      <xdr:rowOff>127000</xdr:rowOff>
    </xdr:to>
    <xdr:sp macro="" textlink="">
      <xdr:nvSpPr>
        <xdr:cNvPr id="2" name="Freeform 1">
          <a:extLst>
            <a:ext uri="{FF2B5EF4-FFF2-40B4-BE49-F238E27FC236}">
              <a16:creationId xmlns:a16="http://schemas.microsoft.com/office/drawing/2014/main" id="{35739069-737B-2F4A-8B0B-62D456A2D436}"/>
            </a:ext>
          </a:extLst>
        </xdr:cNvPr>
        <xdr:cNvSpPr/>
      </xdr:nvSpPr>
      <xdr:spPr>
        <a:xfrm>
          <a:off x="6243624" y="2497667"/>
          <a:ext cx="275709" cy="3062111"/>
        </a:xfrm>
        <a:custGeom>
          <a:avLst/>
          <a:gdLst>
            <a:gd name="connsiteX0" fmla="*/ 0 w 293077"/>
            <a:gd name="connsiteY0" fmla="*/ 2004775 h 2004775"/>
            <a:gd name="connsiteX1" fmla="*/ 97693 w 293077"/>
            <a:gd name="connsiteY1" fmla="*/ 1438159 h 2004775"/>
            <a:gd name="connsiteX2" fmla="*/ 97693 w 293077"/>
            <a:gd name="connsiteY2" fmla="*/ 246313 h 2004775"/>
            <a:gd name="connsiteX3" fmla="*/ 166077 w 293077"/>
            <a:gd name="connsiteY3" fmla="*/ 21621 h 2004775"/>
            <a:gd name="connsiteX4" fmla="*/ 293077 w 293077"/>
            <a:gd name="connsiteY4" fmla="*/ 21621 h 200477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93077" h="2004775">
              <a:moveTo>
                <a:pt x="0" y="2004775"/>
              </a:moveTo>
              <a:cubicBezTo>
                <a:pt x="40705" y="1868005"/>
                <a:pt x="81411" y="1731236"/>
                <a:pt x="97693" y="1438159"/>
              </a:cubicBezTo>
              <a:cubicBezTo>
                <a:pt x="113975" y="1145082"/>
                <a:pt x="86296" y="482403"/>
                <a:pt x="97693" y="246313"/>
              </a:cubicBezTo>
              <a:cubicBezTo>
                <a:pt x="109090" y="10223"/>
                <a:pt x="133513" y="59070"/>
                <a:pt x="166077" y="21621"/>
              </a:cubicBezTo>
              <a:cubicBezTo>
                <a:pt x="198641" y="-15828"/>
                <a:pt x="245859" y="2896"/>
                <a:pt x="293077" y="21621"/>
              </a:cubicBezTo>
            </a:path>
          </a:pathLst>
        </a:custGeom>
        <a:ln w="19050" cap="flat" cmpd="sng" algn="ctr">
          <a:solidFill>
            <a:schemeClr val="accent6"/>
          </a:solidFill>
          <a:prstDash val="dash"/>
          <a:round/>
          <a:headEnd type="none" w="med" len="med"/>
          <a:tailEnd type="triangle" w="med" len="med"/>
        </a:ln>
      </xdr:spPr>
      <xdr:style>
        <a:lnRef idx="0">
          <a:scrgbClr r="0" g="0" b="0"/>
        </a:lnRef>
        <a:fillRef idx="0">
          <a:scrgbClr r="0" g="0" b="0"/>
        </a:fillRef>
        <a:effectRef idx="0">
          <a:scrgbClr r="0" g="0" b="0"/>
        </a:effectRef>
        <a:fontRef idx="minor">
          <a:schemeClr val="tx1"/>
        </a:fontRef>
      </xdr:style>
      <xdr:txBody>
        <a:bodyPr vertOverflow="clip" horzOverflow="clip" rtlCol="0" anchor="t"/>
        <a:lstStyle/>
        <a:p>
          <a:pPr algn="l"/>
          <a:endParaRPr lang="en-US" sz="1100"/>
        </a:p>
      </xdr:txBody>
    </xdr:sp>
    <xdr:clientData/>
  </xdr:twoCellAnchor>
  <xdr:twoCellAnchor>
    <xdr:from>
      <xdr:col>22</xdr:col>
      <xdr:colOff>48848</xdr:colOff>
      <xdr:row>13</xdr:row>
      <xdr:rowOff>98778</xdr:rowOff>
    </xdr:from>
    <xdr:to>
      <xdr:col>24</xdr:col>
      <xdr:colOff>0</xdr:colOff>
      <xdr:row>30</xdr:row>
      <xdr:rowOff>141111</xdr:rowOff>
    </xdr:to>
    <xdr:sp macro="" textlink="">
      <xdr:nvSpPr>
        <xdr:cNvPr id="3" name="Freeform 2">
          <a:extLst>
            <a:ext uri="{FF2B5EF4-FFF2-40B4-BE49-F238E27FC236}">
              <a16:creationId xmlns:a16="http://schemas.microsoft.com/office/drawing/2014/main" id="{1626153B-2A91-854F-9BA1-994534728634}"/>
            </a:ext>
          </a:extLst>
        </xdr:cNvPr>
        <xdr:cNvSpPr/>
      </xdr:nvSpPr>
      <xdr:spPr>
        <a:xfrm>
          <a:off x="5566292" y="2497667"/>
          <a:ext cx="303930" cy="3076222"/>
        </a:xfrm>
        <a:custGeom>
          <a:avLst/>
          <a:gdLst>
            <a:gd name="connsiteX0" fmla="*/ 0 w 293077"/>
            <a:gd name="connsiteY0" fmla="*/ 2004775 h 2004775"/>
            <a:gd name="connsiteX1" fmla="*/ 97693 w 293077"/>
            <a:gd name="connsiteY1" fmla="*/ 1438159 h 2004775"/>
            <a:gd name="connsiteX2" fmla="*/ 97693 w 293077"/>
            <a:gd name="connsiteY2" fmla="*/ 246313 h 2004775"/>
            <a:gd name="connsiteX3" fmla="*/ 166077 w 293077"/>
            <a:gd name="connsiteY3" fmla="*/ 21621 h 2004775"/>
            <a:gd name="connsiteX4" fmla="*/ 293077 w 293077"/>
            <a:gd name="connsiteY4" fmla="*/ 21621 h 200477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93077" h="2004775">
              <a:moveTo>
                <a:pt x="0" y="2004775"/>
              </a:moveTo>
              <a:cubicBezTo>
                <a:pt x="40705" y="1868005"/>
                <a:pt x="81411" y="1731236"/>
                <a:pt x="97693" y="1438159"/>
              </a:cubicBezTo>
              <a:cubicBezTo>
                <a:pt x="113975" y="1145082"/>
                <a:pt x="86296" y="482403"/>
                <a:pt x="97693" y="246313"/>
              </a:cubicBezTo>
              <a:cubicBezTo>
                <a:pt x="109090" y="10223"/>
                <a:pt x="133513" y="59070"/>
                <a:pt x="166077" y="21621"/>
              </a:cubicBezTo>
              <a:cubicBezTo>
                <a:pt x="198641" y="-15828"/>
                <a:pt x="245859" y="2896"/>
                <a:pt x="293077" y="21621"/>
              </a:cubicBezTo>
            </a:path>
          </a:pathLst>
        </a:custGeom>
        <a:ln w="19050" cap="flat" cmpd="sng" algn="ctr">
          <a:solidFill>
            <a:schemeClr val="accent6"/>
          </a:solidFill>
          <a:prstDash val="dash"/>
          <a:round/>
          <a:headEnd type="none" w="med" len="med"/>
          <a:tailEnd type="triangle" w="med" len="med"/>
        </a:ln>
      </xdr:spPr>
      <xdr:style>
        <a:lnRef idx="0">
          <a:scrgbClr r="0" g="0" b="0"/>
        </a:lnRef>
        <a:fillRef idx="0">
          <a:scrgbClr r="0" g="0" b="0"/>
        </a:fillRef>
        <a:effectRef idx="0">
          <a:scrgbClr r="0" g="0" b="0"/>
        </a:effectRef>
        <a:fontRef idx="minor">
          <a:schemeClr val="tx1"/>
        </a:fontRef>
      </xdr:style>
      <xdr:txBody>
        <a:bodyPr vertOverflow="clip" horzOverflow="clip" rtlCol="0" anchor="t"/>
        <a:lstStyle/>
        <a:p>
          <a:pPr algn="l"/>
          <a:endParaRPr lang="en-US" sz="1100"/>
        </a:p>
      </xdr:txBody>
    </xdr:sp>
    <xdr:clientData/>
  </xdr:twoCellAnchor>
  <xdr:twoCellAnchor>
    <xdr:from>
      <xdr:col>19</xdr:col>
      <xdr:colOff>84018</xdr:colOff>
      <xdr:row>13</xdr:row>
      <xdr:rowOff>127000</xdr:rowOff>
    </xdr:from>
    <xdr:to>
      <xdr:col>20</xdr:col>
      <xdr:colOff>155222</xdr:colOff>
      <xdr:row>30</xdr:row>
      <xdr:rowOff>127000</xdr:rowOff>
    </xdr:to>
    <xdr:sp macro="" textlink="">
      <xdr:nvSpPr>
        <xdr:cNvPr id="4" name="Freeform 3">
          <a:extLst>
            <a:ext uri="{FF2B5EF4-FFF2-40B4-BE49-F238E27FC236}">
              <a16:creationId xmlns:a16="http://schemas.microsoft.com/office/drawing/2014/main" id="{E62D04A6-A7D3-BD4E-9C6E-31855A51D586}"/>
            </a:ext>
          </a:extLst>
        </xdr:cNvPr>
        <xdr:cNvSpPr/>
      </xdr:nvSpPr>
      <xdr:spPr>
        <a:xfrm>
          <a:off x="4867685" y="2525889"/>
          <a:ext cx="240537" cy="3033889"/>
        </a:xfrm>
        <a:custGeom>
          <a:avLst/>
          <a:gdLst>
            <a:gd name="connsiteX0" fmla="*/ 0 w 293077"/>
            <a:gd name="connsiteY0" fmla="*/ 2004775 h 2004775"/>
            <a:gd name="connsiteX1" fmla="*/ 97693 w 293077"/>
            <a:gd name="connsiteY1" fmla="*/ 1438159 h 2004775"/>
            <a:gd name="connsiteX2" fmla="*/ 97693 w 293077"/>
            <a:gd name="connsiteY2" fmla="*/ 246313 h 2004775"/>
            <a:gd name="connsiteX3" fmla="*/ 166077 w 293077"/>
            <a:gd name="connsiteY3" fmla="*/ 21621 h 2004775"/>
            <a:gd name="connsiteX4" fmla="*/ 293077 w 293077"/>
            <a:gd name="connsiteY4" fmla="*/ 21621 h 200477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93077" h="2004775">
              <a:moveTo>
                <a:pt x="0" y="2004775"/>
              </a:moveTo>
              <a:cubicBezTo>
                <a:pt x="40705" y="1868005"/>
                <a:pt x="81411" y="1731236"/>
                <a:pt x="97693" y="1438159"/>
              </a:cubicBezTo>
              <a:cubicBezTo>
                <a:pt x="113975" y="1145082"/>
                <a:pt x="86296" y="482403"/>
                <a:pt x="97693" y="246313"/>
              </a:cubicBezTo>
              <a:cubicBezTo>
                <a:pt x="109090" y="10223"/>
                <a:pt x="133513" y="59070"/>
                <a:pt x="166077" y="21621"/>
              </a:cubicBezTo>
              <a:cubicBezTo>
                <a:pt x="198641" y="-15828"/>
                <a:pt x="245859" y="2896"/>
                <a:pt x="293077" y="21621"/>
              </a:cubicBezTo>
            </a:path>
          </a:pathLst>
        </a:custGeom>
        <a:ln w="19050" cap="flat" cmpd="sng" algn="ctr">
          <a:solidFill>
            <a:schemeClr val="accent6"/>
          </a:solidFill>
          <a:prstDash val="dash"/>
          <a:round/>
          <a:headEnd type="none" w="med" len="med"/>
          <a:tailEnd type="triangle" w="med" len="med"/>
        </a:ln>
      </xdr:spPr>
      <xdr:style>
        <a:lnRef idx="0">
          <a:scrgbClr r="0" g="0" b="0"/>
        </a:lnRef>
        <a:fillRef idx="0">
          <a:scrgbClr r="0" g="0" b="0"/>
        </a:fillRef>
        <a:effectRef idx="0">
          <a:scrgbClr r="0" g="0" b="0"/>
        </a:effectRef>
        <a:fontRef idx="minor">
          <a:schemeClr val="tx1"/>
        </a:fontRef>
      </xdr:style>
      <xdr:txBody>
        <a:bodyPr vertOverflow="clip" horzOverflow="clip" rtlCol="0" anchor="t"/>
        <a:lstStyle/>
        <a:p>
          <a:pPr algn="l"/>
          <a:endParaRPr lang="en-US" sz="1100"/>
        </a:p>
      </xdr:txBody>
    </xdr:sp>
    <xdr:clientData/>
  </xdr:twoCellAnchor>
  <xdr:twoCellAnchor>
    <xdr:from>
      <xdr:col>28</xdr:col>
      <xdr:colOff>48846</xdr:colOff>
      <xdr:row>13</xdr:row>
      <xdr:rowOff>98778</xdr:rowOff>
    </xdr:from>
    <xdr:to>
      <xdr:col>29</xdr:col>
      <xdr:colOff>197555</xdr:colOff>
      <xdr:row>30</xdr:row>
      <xdr:rowOff>127000</xdr:rowOff>
    </xdr:to>
    <xdr:sp macro="" textlink="">
      <xdr:nvSpPr>
        <xdr:cNvPr id="5" name="Freeform 4">
          <a:extLst>
            <a:ext uri="{FF2B5EF4-FFF2-40B4-BE49-F238E27FC236}">
              <a16:creationId xmlns:a16="http://schemas.microsoft.com/office/drawing/2014/main" id="{29DE79E0-2D47-6942-90CB-88169A991EBB}"/>
            </a:ext>
          </a:extLst>
        </xdr:cNvPr>
        <xdr:cNvSpPr/>
      </xdr:nvSpPr>
      <xdr:spPr>
        <a:xfrm>
          <a:off x="6214788" y="2436314"/>
          <a:ext cx="277550" cy="2991556"/>
        </a:xfrm>
        <a:custGeom>
          <a:avLst/>
          <a:gdLst>
            <a:gd name="connsiteX0" fmla="*/ 0 w 293077"/>
            <a:gd name="connsiteY0" fmla="*/ 2004775 h 2004775"/>
            <a:gd name="connsiteX1" fmla="*/ 97693 w 293077"/>
            <a:gd name="connsiteY1" fmla="*/ 1438159 h 2004775"/>
            <a:gd name="connsiteX2" fmla="*/ 97693 w 293077"/>
            <a:gd name="connsiteY2" fmla="*/ 246313 h 2004775"/>
            <a:gd name="connsiteX3" fmla="*/ 166077 w 293077"/>
            <a:gd name="connsiteY3" fmla="*/ 21621 h 2004775"/>
            <a:gd name="connsiteX4" fmla="*/ 293077 w 293077"/>
            <a:gd name="connsiteY4" fmla="*/ 21621 h 200477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93077" h="2004775">
              <a:moveTo>
                <a:pt x="0" y="2004775"/>
              </a:moveTo>
              <a:cubicBezTo>
                <a:pt x="40705" y="1868005"/>
                <a:pt x="81411" y="1731236"/>
                <a:pt x="97693" y="1438159"/>
              </a:cubicBezTo>
              <a:cubicBezTo>
                <a:pt x="113975" y="1145082"/>
                <a:pt x="86296" y="482403"/>
                <a:pt x="97693" y="246313"/>
              </a:cubicBezTo>
              <a:cubicBezTo>
                <a:pt x="109090" y="10223"/>
                <a:pt x="133513" y="59070"/>
                <a:pt x="166077" y="21621"/>
              </a:cubicBezTo>
              <a:cubicBezTo>
                <a:pt x="198641" y="-15828"/>
                <a:pt x="245859" y="2896"/>
                <a:pt x="293077" y="21621"/>
              </a:cubicBezTo>
            </a:path>
          </a:pathLst>
        </a:custGeom>
        <a:ln w="19050" cap="flat" cmpd="sng" algn="ctr">
          <a:solidFill>
            <a:schemeClr val="accent6"/>
          </a:solidFill>
          <a:prstDash val="dash"/>
          <a:round/>
          <a:headEnd type="none" w="med" len="med"/>
          <a:tailEnd type="triangle" w="med" len="med"/>
        </a:ln>
      </xdr:spPr>
      <xdr:style>
        <a:lnRef idx="0">
          <a:scrgbClr r="0" g="0" b="0"/>
        </a:lnRef>
        <a:fillRef idx="0">
          <a:scrgbClr r="0" g="0" b="0"/>
        </a:fillRef>
        <a:effectRef idx="0">
          <a:scrgbClr r="0" g="0" b="0"/>
        </a:effectRef>
        <a:fontRef idx="minor">
          <a:schemeClr val="tx1"/>
        </a:fontRef>
      </xdr:style>
      <xdr:txBody>
        <a:bodyPr vertOverflow="clip" horzOverflow="clip" rtlCol="0" anchor="t"/>
        <a:lstStyle/>
        <a:p>
          <a:pPr algn="l"/>
          <a:endParaRPr lang="en-US" sz="1100"/>
        </a:p>
      </xdr:txBody>
    </xdr:sp>
    <xdr:clientData/>
  </xdr:twoCellAnchor>
  <xdr:twoCellAnchor>
    <xdr:from>
      <xdr:col>31</xdr:col>
      <xdr:colOff>48846</xdr:colOff>
      <xdr:row>13</xdr:row>
      <xdr:rowOff>98778</xdr:rowOff>
    </xdr:from>
    <xdr:to>
      <xdr:col>32</xdr:col>
      <xdr:colOff>197555</xdr:colOff>
      <xdr:row>30</xdr:row>
      <xdr:rowOff>127000</xdr:rowOff>
    </xdr:to>
    <xdr:sp macro="" textlink="">
      <xdr:nvSpPr>
        <xdr:cNvPr id="6" name="Freeform 5">
          <a:extLst>
            <a:ext uri="{FF2B5EF4-FFF2-40B4-BE49-F238E27FC236}">
              <a16:creationId xmlns:a16="http://schemas.microsoft.com/office/drawing/2014/main" id="{A63D6178-D8D9-4842-BFC8-D7CF4197E118}"/>
            </a:ext>
          </a:extLst>
        </xdr:cNvPr>
        <xdr:cNvSpPr/>
      </xdr:nvSpPr>
      <xdr:spPr>
        <a:xfrm>
          <a:off x="6214788" y="2436314"/>
          <a:ext cx="277550" cy="2991556"/>
        </a:xfrm>
        <a:custGeom>
          <a:avLst/>
          <a:gdLst>
            <a:gd name="connsiteX0" fmla="*/ 0 w 293077"/>
            <a:gd name="connsiteY0" fmla="*/ 2004775 h 2004775"/>
            <a:gd name="connsiteX1" fmla="*/ 97693 w 293077"/>
            <a:gd name="connsiteY1" fmla="*/ 1438159 h 2004775"/>
            <a:gd name="connsiteX2" fmla="*/ 97693 w 293077"/>
            <a:gd name="connsiteY2" fmla="*/ 246313 h 2004775"/>
            <a:gd name="connsiteX3" fmla="*/ 166077 w 293077"/>
            <a:gd name="connsiteY3" fmla="*/ 21621 h 2004775"/>
            <a:gd name="connsiteX4" fmla="*/ 293077 w 293077"/>
            <a:gd name="connsiteY4" fmla="*/ 21621 h 200477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93077" h="2004775">
              <a:moveTo>
                <a:pt x="0" y="2004775"/>
              </a:moveTo>
              <a:cubicBezTo>
                <a:pt x="40705" y="1868005"/>
                <a:pt x="81411" y="1731236"/>
                <a:pt x="97693" y="1438159"/>
              </a:cubicBezTo>
              <a:cubicBezTo>
                <a:pt x="113975" y="1145082"/>
                <a:pt x="86296" y="482403"/>
                <a:pt x="97693" y="246313"/>
              </a:cubicBezTo>
              <a:cubicBezTo>
                <a:pt x="109090" y="10223"/>
                <a:pt x="133513" y="59070"/>
                <a:pt x="166077" y="21621"/>
              </a:cubicBezTo>
              <a:cubicBezTo>
                <a:pt x="198641" y="-15828"/>
                <a:pt x="245859" y="2896"/>
                <a:pt x="293077" y="21621"/>
              </a:cubicBezTo>
            </a:path>
          </a:pathLst>
        </a:custGeom>
        <a:ln w="19050" cap="flat" cmpd="sng" algn="ctr">
          <a:solidFill>
            <a:schemeClr val="accent6"/>
          </a:solidFill>
          <a:prstDash val="dash"/>
          <a:round/>
          <a:headEnd type="none" w="med" len="med"/>
          <a:tailEnd type="triangle" w="med" len="med"/>
        </a:ln>
      </xdr:spPr>
      <xdr:style>
        <a:lnRef idx="0">
          <a:scrgbClr r="0" g="0" b="0"/>
        </a:lnRef>
        <a:fillRef idx="0">
          <a:scrgbClr r="0" g="0" b="0"/>
        </a:fillRef>
        <a:effectRef idx="0">
          <a:scrgbClr r="0" g="0" b="0"/>
        </a:effectRef>
        <a:fontRef idx="minor">
          <a:schemeClr val="tx1"/>
        </a:fontRef>
      </xdr:style>
      <xdr:txBody>
        <a:bodyPr vertOverflow="clip" horzOverflow="clip" rtlCol="0" anchor="t"/>
        <a:lstStyle/>
        <a:p>
          <a:pPr algn="l"/>
          <a:endParaRPr lang="en-US" sz="11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o365coloradoedu-my.sharepoint.com/personal/peye9704_colorado_edu/Documents/2024/AIbyHand/spreadsheets/github/ai-by-hand-excel/basic/LeakyReLU.xlsx" TargetMode="External"/><Relationship Id="rId1" Type="http://schemas.openxmlformats.org/officeDocument/2006/relationships/externalLinkPath" Target="https://o365coloradoedu-my.sharepoint.com/personal/peye9704_colorado_edu/Documents/2024/AIbyHand/spreadsheets/github/ai-by-hand-excel/basic/LeakyReLU.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LU vs. LeakyReLU"/>
      <sheetName val="LICENSE"/>
    </sheetNames>
    <sheetDataSet>
      <sheetData sheetId="0">
        <row r="5">
          <cell r="H5">
            <v>0.5</v>
          </cell>
        </row>
      </sheetData>
      <sheetData sheetId="1" refreshError="1"/>
    </sheetDataSet>
  </externalBook>
</externalLink>
</file>

<file path=xl/persons/person.xml><?xml version="1.0" encoding="utf-8"?>
<personList xmlns="http://schemas.microsoft.com/office/spreadsheetml/2018/threadedcomments" xmlns:x="http://schemas.openxmlformats.org/spreadsheetml/2006/main">
  <person displayName="Tom Yeh" id="{2227795F-A6D0-9742-A81F-930FD3B25EDA}" userId="S::peye9704@colorado.edu::1e01d604-d88c-4cc6-ae31-643963d79273" providerId="AD"/>
</personList>
</file>

<file path=xl/theme/theme1.xml><?xml version="1.0" encoding="utf-8"?>
<a:theme xmlns:a="http://schemas.openxmlformats.org/drawingml/2006/main" name="Sheets">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L6" dT="2024-09-24T22:53:07.10" personId="{2227795F-A6D0-9742-A81F-930FD3B25EDA}" id="{336C7ABC-AF39-9441-A52B-3168FF590A97}">
    <text>4D input vector.</text>
  </threadedComment>
  <threadedComment ref="O6" dT="2024-09-24T22:55:31.22" personId="{2227795F-A6D0-9742-A81F-930FD3B25EDA}" id="{7B7A0070-3FDC-A54A-916C-D673FA63225F}">
    <text xml:space="preserve">For the next input, the process repeats or recurs to calculate new feature values, new hidden states, a new logit value, and a new output value. </text>
  </threadedComment>
  <threadedComment ref="K10" dT="2024-09-24T22:40:05.40" personId="{2227795F-A6D0-9742-A81F-930FD3B25EDA}" id="{44C758EC-5900-9B48-BC48-5D20F774CA1D}">
    <text>Hidden states are initialized to either all zeros or some random values.</text>
  </threadedComment>
  <threadedComment ref="L10" dT="2024-09-24T22:53:19.54" personId="{2227795F-A6D0-9742-A81F-930FD3B25EDA}" id="{0147B201-C924-7648-806A-58C510748F68}">
    <text>3D hidden state vector.</text>
  </threadedComment>
  <threadedComment ref="L16" dT="2024-09-24T22:48:54.62" personId="{2227795F-A6D0-9742-A81F-930FD3B25EDA}" id="{89826388-5F91-C04B-AE8E-84B25C77BCDA}">
    <text>This feature value depends on current input (Xt) and the previous hidden states (H{t-1}), weighted by Wx and Wh respectively, with a bias bh added. This can be calculated as a matrix multiplication.</text>
  </threadedComment>
  <threadedComment ref="L21" dT="2024-09-24T22:49:57.54" personId="{2227795F-A6D0-9742-A81F-930FD3B25EDA}" id="{11D39597-B457-6641-800D-8EF7FADB76E2}">
    <text xml:space="preserve">New values of the hidden state is calculated by applying the activation function (tanh) to the activation value. Then it is passed along to the next time step. </text>
  </threadedComment>
  <threadedComment ref="L27" dT="2024-09-24T22:51:31.25" personId="{2227795F-A6D0-9742-A81F-930FD3B25EDA}" id="{7EADAFF7-EDD7-964F-AC81-867E28C7185C}">
    <text>The new hidden state (Ht) is multiplied with the weight (Wy) and bias (by) to obtain the “logit” value, which is the value right before the final activation is applied to it.</text>
  </threadedComment>
  <threadedComment ref="L29" dT="2024-09-24T22:52:21.07" personId="{2227795F-A6D0-9742-A81F-930FD3B25EDA}" id="{D49C0CBB-406C-E340-BD0B-D6019EE93A59}">
    <text>Calculate the output value Yt by applying the activation function (sigmoid), which can give us a value between 0 and 1.</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C1001"/>
  <sheetViews>
    <sheetView tabSelected="1" zoomScale="140" zoomScaleNormal="140" workbookViewId="0">
      <pane ySplit="1" topLeftCell="A2" activePane="bottomLeft" state="frozen"/>
      <selection pane="bottomLeft" activeCell="J28" sqref="J28"/>
    </sheetView>
  </sheetViews>
  <sheetFormatPr baseColWidth="10" defaultColWidth="12.6640625" defaultRowHeight="15.75" customHeight="1"/>
  <cols>
    <col min="1" max="1" width="4.33203125" customWidth="1"/>
    <col min="2" max="12" width="3.1640625" customWidth="1"/>
    <col min="13" max="13" width="2.1640625" customWidth="1"/>
    <col min="14" max="15" width="3.1640625" customWidth="1"/>
    <col min="16" max="16" width="1.5" customWidth="1"/>
    <col min="17" max="18" width="3.1640625" customWidth="1"/>
    <col min="19" max="19" width="1.6640625" customWidth="1"/>
    <col min="20" max="20" width="3.1640625" customWidth="1"/>
    <col min="21" max="21" width="3.5" customWidth="1"/>
    <col min="22" max="25" width="3.1640625" customWidth="1"/>
    <col min="26" max="26" width="3.5" customWidth="1"/>
    <col min="27" max="28" width="4.1640625" customWidth="1"/>
    <col min="29" max="29" width="5.33203125" customWidth="1"/>
  </cols>
  <sheetData>
    <row r="1" spans="1:29" ht="21" customHeight="1">
      <c r="A1" s="42" t="s">
        <v>34</v>
      </c>
      <c r="B1" s="41"/>
      <c r="C1" s="41"/>
      <c r="D1" s="41"/>
      <c r="E1" s="41"/>
      <c r="F1" s="41"/>
      <c r="G1" s="41"/>
      <c r="H1" s="41"/>
      <c r="I1" s="41"/>
      <c r="J1" s="41"/>
      <c r="K1" s="41"/>
      <c r="L1" s="41"/>
      <c r="M1" s="41"/>
      <c r="N1" s="41"/>
      <c r="O1" s="41"/>
      <c r="P1" s="41"/>
      <c r="Q1" s="41"/>
      <c r="R1" s="41"/>
      <c r="S1" s="41"/>
      <c r="T1" s="41"/>
      <c r="U1" s="41"/>
      <c r="V1" s="41"/>
      <c r="W1" s="41"/>
      <c r="X1" s="41"/>
      <c r="Y1" s="41"/>
      <c r="Z1" s="41"/>
      <c r="AA1" s="41"/>
      <c r="AB1" s="41"/>
      <c r="AC1" s="41"/>
    </row>
    <row r="2" spans="1:29" ht="21" customHeight="1">
      <c r="A2" s="42"/>
      <c r="B2" s="41"/>
      <c r="C2" s="41"/>
      <c r="D2" s="41"/>
      <c r="E2" s="41"/>
      <c r="F2" s="41"/>
      <c r="G2" s="41"/>
      <c r="H2" s="41"/>
      <c r="I2" s="41"/>
      <c r="J2" s="41"/>
      <c r="K2" s="41"/>
      <c r="L2" s="41"/>
      <c r="M2" s="41"/>
      <c r="N2" s="41"/>
      <c r="O2" s="41"/>
      <c r="P2" s="41"/>
      <c r="Q2" s="41"/>
      <c r="R2" s="41"/>
      <c r="S2" s="41"/>
      <c r="T2" s="41"/>
      <c r="U2" s="41"/>
      <c r="V2" s="41"/>
      <c r="W2" s="41"/>
      <c r="X2" s="41"/>
      <c r="Y2" s="41"/>
      <c r="Z2" s="41"/>
      <c r="AA2" s="41"/>
      <c r="AB2" s="41"/>
      <c r="AC2" s="41"/>
    </row>
    <row r="3" spans="1:29" ht="13">
      <c r="A3" s="68" t="s">
        <v>43</v>
      </c>
      <c r="B3" s="70"/>
      <c r="C3" s="2"/>
      <c r="D3" s="2"/>
      <c r="E3" s="3">
        <v>4</v>
      </c>
      <c r="G3" s="1" t="s">
        <v>0</v>
      </c>
      <c r="J3" s="2" t="s">
        <v>1</v>
      </c>
      <c r="K3" s="3">
        <v>1</v>
      </c>
      <c r="L3" s="3"/>
      <c r="M3" s="3"/>
      <c r="N3" s="3">
        <v>2</v>
      </c>
      <c r="O3" s="3"/>
      <c r="P3" s="3"/>
      <c r="Q3" s="3">
        <v>3</v>
      </c>
      <c r="R3" s="3"/>
      <c r="S3" s="3"/>
      <c r="T3" s="3">
        <v>4</v>
      </c>
      <c r="AA3" s="3"/>
    </row>
    <row r="4" spans="1:29" ht="13">
      <c r="A4" s="68" t="s">
        <v>44</v>
      </c>
      <c r="B4" s="2"/>
      <c r="C4" s="2"/>
      <c r="D4" s="2"/>
      <c r="E4" s="3">
        <v>1</v>
      </c>
      <c r="AA4" s="3"/>
    </row>
    <row r="5" spans="1:29" ht="13">
      <c r="A5" s="68" t="s">
        <v>45</v>
      </c>
      <c r="D5" s="3"/>
      <c r="E5" s="36">
        <v>3</v>
      </c>
      <c r="G5" s="1" t="s">
        <v>2</v>
      </c>
      <c r="H5" s="3"/>
      <c r="I5" s="3"/>
      <c r="J5" s="3"/>
      <c r="K5" s="3" t="s">
        <v>3</v>
      </c>
      <c r="M5" s="3"/>
      <c r="N5" s="3" t="s">
        <v>4</v>
      </c>
      <c r="P5" s="3"/>
      <c r="Q5" s="3" t="s">
        <v>5</v>
      </c>
      <c r="S5" s="3"/>
      <c r="T5" s="3" t="s">
        <v>6</v>
      </c>
      <c r="V5" s="3"/>
      <c r="W5" s="3"/>
      <c r="Y5" s="3"/>
      <c r="AA5" s="3"/>
      <c r="AB5" s="3"/>
    </row>
    <row r="6" spans="1:29" ht="13">
      <c r="A6" s="68" t="s">
        <v>42</v>
      </c>
      <c r="C6" s="3"/>
      <c r="D6" s="3"/>
      <c r="E6" s="3">
        <v>4</v>
      </c>
      <c r="G6" s="3"/>
      <c r="H6" s="3"/>
      <c r="I6" s="3"/>
      <c r="J6" s="3"/>
      <c r="K6" s="3"/>
      <c r="L6" s="4">
        <v>2</v>
      </c>
      <c r="O6" s="4">
        <v>1</v>
      </c>
      <c r="P6" s="3"/>
      <c r="Q6" s="3"/>
      <c r="R6" s="4">
        <v>1</v>
      </c>
      <c r="U6" s="4">
        <v>1</v>
      </c>
      <c r="X6" s="3"/>
      <c r="Y6" s="3"/>
      <c r="Z6" s="3"/>
      <c r="AA6" s="3"/>
      <c r="AB6" s="3"/>
      <c r="AC6" s="3"/>
    </row>
    <row r="7" spans="1:29" ht="13">
      <c r="C7" s="3"/>
      <c r="D7" s="3"/>
      <c r="E7" s="3"/>
      <c r="G7" s="3"/>
      <c r="H7" s="3"/>
      <c r="I7" s="3"/>
      <c r="J7" s="3"/>
      <c r="K7" s="3"/>
      <c r="L7" s="4">
        <v>-1</v>
      </c>
      <c r="O7" s="4">
        <v>0</v>
      </c>
      <c r="P7" s="3"/>
      <c r="Q7" s="3"/>
      <c r="R7" s="4">
        <v>1</v>
      </c>
      <c r="U7" s="4">
        <v>2</v>
      </c>
      <c r="X7" s="3"/>
      <c r="Y7" s="3"/>
      <c r="Z7" s="3"/>
      <c r="AA7" s="3"/>
      <c r="AB7" s="3"/>
      <c r="AC7" s="3"/>
    </row>
    <row r="8" spans="1:29" ht="13">
      <c r="C8" s="3"/>
      <c r="D8" s="3"/>
      <c r="E8" s="3"/>
      <c r="G8" s="3"/>
      <c r="H8" s="3"/>
      <c r="I8" s="3"/>
      <c r="J8" s="3"/>
      <c r="K8" s="3"/>
      <c r="L8" s="4">
        <v>0</v>
      </c>
      <c r="O8" s="4">
        <v>1</v>
      </c>
      <c r="P8" s="3"/>
      <c r="Q8" s="3"/>
      <c r="R8" s="4">
        <v>0</v>
      </c>
      <c r="U8" s="4">
        <v>-1</v>
      </c>
      <c r="X8" s="3"/>
      <c r="Y8" s="3"/>
      <c r="Z8" s="3"/>
      <c r="AA8" s="3"/>
      <c r="AB8" s="3"/>
      <c r="AC8" s="3"/>
    </row>
    <row r="9" spans="1:29" ht="13">
      <c r="C9" s="3"/>
      <c r="D9" s="3"/>
      <c r="E9" s="3"/>
      <c r="G9" s="3"/>
      <c r="H9" s="3"/>
      <c r="I9" s="3"/>
      <c r="J9" s="3"/>
      <c r="K9" s="3"/>
      <c r="L9" s="39">
        <v>1</v>
      </c>
      <c r="O9" s="39">
        <v>0</v>
      </c>
      <c r="P9" s="3"/>
      <c r="Q9" s="3"/>
      <c r="R9" s="39">
        <v>0</v>
      </c>
      <c r="U9" s="39">
        <v>2</v>
      </c>
      <c r="X9" s="3"/>
      <c r="Y9" s="3"/>
      <c r="Z9" s="3"/>
      <c r="AA9" s="3"/>
      <c r="AB9" s="3"/>
      <c r="AC9" s="3"/>
    </row>
    <row r="10" spans="1:29" ht="13">
      <c r="A10" s="5"/>
      <c r="B10" s="5"/>
      <c r="D10" s="3"/>
      <c r="G10" s="5" t="s">
        <v>7</v>
      </c>
      <c r="H10" s="3"/>
      <c r="I10" s="3"/>
      <c r="J10" s="3"/>
      <c r="K10" s="3" t="s">
        <v>8</v>
      </c>
      <c r="L10" s="40">
        <v>0</v>
      </c>
      <c r="N10" s="3" t="s">
        <v>9</v>
      </c>
      <c r="O10" s="40">
        <f>L21</f>
        <v>0.99932929973906692</v>
      </c>
      <c r="P10" s="3"/>
      <c r="Q10" s="3" t="s">
        <v>10</v>
      </c>
      <c r="R10" s="40">
        <f>O21</f>
        <v>0.84480840963339454</v>
      </c>
      <c r="S10" s="3"/>
      <c r="T10" s="3" t="s">
        <v>11</v>
      </c>
      <c r="U10" s="40">
        <f>R21</f>
        <v>0.99332710896593535</v>
      </c>
      <c r="V10" s="3"/>
      <c r="X10" s="3"/>
      <c r="Y10" s="3"/>
      <c r="Z10" s="3"/>
      <c r="AA10" s="3"/>
      <c r="AB10" s="3"/>
      <c r="AC10" s="3"/>
    </row>
    <row r="11" spans="1:29" ht="13">
      <c r="A11" s="5"/>
      <c r="B11" s="5"/>
      <c r="D11" s="3"/>
      <c r="E11" s="3"/>
      <c r="F11" s="3"/>
      <c r="G11" s="3"/>
      <c r="H11" s="3"/>
      <c r="I11" s="3"/>
      <c r="J11" s="3"/>
      <c r="K11" s="3"/>
      <c r="L11" s="40">
        <v>0</v>
      </c>
      <c r="M11" s="6"/>
      <c r="N11" s="7"/>
      <c r="O11" s="40">
        <f>L22</f>
        <v>-0.99505475368673058</v>
      </c>
      <c r="P11" s="6"/>
      <c r="Q11" s="7"/>
      <c r="R11" s="40">
        <f>O22</f>
        <v>-0.94212754684389821</v>
      </c>
      <c r="S11" s="6"/>
      <c r="T11" s="7"/>
      <c r="U11" s="40">
        <f>R22</f>
        <v>6.2735161988205848E-2</v>
      </c>
      <c r="V11" s="3"/>
      <c r="X11" s="3"/>
      <c r="Y11" s="3"/>
      <c r="Z11" s="3"/>
      <c r="AA11" s="3"/>
      <c r="AB11" s="3"/>
      <c r="AC11" s="3"/>
    </row>
    <row r="12" spans="1:29" ht="13">
      <c r="A12" s="5"/>
      <c r="B12" s="5"/>
      <c r="D12" s="3"/>
      <c r="E12" s="3"/>
      <c r="F12" s="3"/>
      <c r="G12" s="3"/>
      <c r="H12" s="3"/>
      <c r="I12" s="3"/>
      <c r="J12" s="3"/>
      <c r="K12" s="3"/>
      <c r="L12" s="40">
        <v>0</v>
      </c>
      <c r="M12" s="6"/>
      <c r="N12" s="6"/>
      <c r="O12" s="40">
        <f>L23</f>
        <v>-0.76159415595576485</v>
      </c>
      <c r="P12" s="6"/>
      <c r="Q12" s="3"/>
      <c r="R12" s="40">
        <f>O23</f>
        <v>4.945206000904266E-3</v>
      </c>
      <c r="S12" s="6"/>
      <c r="T12" s="3"/>
      <c r="U12" s="40">
        <f>R23</f>
        <v>0.78484821598210719</v>
      </c>
      <c r="V12" s="3"/>
      <c r="X12" s="3"/>
      <c r="Y12" s="3"/>
      <c r="Z12" s="3"/>
      <c r="AA12" s="3"/>
      <c r="AB12" s="3"/>
      <c r="AC12" s="3"/>
    </row>
    <row r="13" spans="1:29" ht="13">
      <c r="A13" s="5"/>
      <c r="B13" s="5"/>
      <c r="D13" s="3"/>
      <c r="E13" s="3"/>
      <c r="F13" s="3"/>
      <c r="G13" s="3"/>
      <c r="H13" s="3"/>
      <c r="I13" s="3"/>
      <c r="J13" s="3"/>
      <c r="K13" s="3"/>
      <c r="L13" s="3">
        <v>1</v>
      </c>
      <c r="M13" s="6"/>
      <c r="N13" s="6"/>
      <c r="O13" s="3">
        <v>1</v>
      </c>
      <c r="P13" s="6"/>
      <c r="Q13" s="3"/>
      <c r="R13" s="3">
        <v>1</v>
      </c>
      <c r="S13" s="6"/>
      <c r="T13" s="3"/>
      <c r="U13" s="3">
        <v>1</v>
      </c>
      <c r="V13" s="3"/>
      <c r="X13" s="3"/>
      <c r="Y13" s="3"/>
      <c r="Z13" s="3"/>
      <c r="AA13" s="3"/>
      <c r="AB13" s="3"/>
      <c r="AC13" s="3"/>
    </row>
    <row r="14" spans="1:29" ht="13">
      <c r="B14" s="3"/>
      <c r="C14" s="3"/>
      <c r="D14" s="3"/>
      <c r="F14" s="3"/>
      <c r="G14" s="3"/>
      <c r="H14" s="3"/>
      <c r="I14" s="3"/>
      <c r="L14" s="3" t="s">
        <v>12</v>
      </c>
      <c r="M14" s="6"/>
      <c r="N14" s="8"/>
      <c r="O14" s="3" t="s">
        <v>12</v>
      </c>
      <c r="P14" s="6"/>
      <c r="R14" s="3" t="s">
        <v>12</v>
      </c>
      <c r="S14" s="6"/>
      <c r="U14" s="3" t="s">
        <v>12</v>
      </c>
      <c r="V14" s="3"/>
      <c r="X14" s="3"/>
      <c r="Y14" s="3"/>
      <c r="Z14" s="3"/>
      <c r="AA14" s="3"/>
      <c r="AB14" s="3"/>
      <c r="AC14" s="3"/>
    </row>
    <row r="15" spans="1:29" ht="13">
      <c r="B15" s="9" t="s">
        <v>13</v>
      </c>
      <c r="C15" s="3"/>
      <c r="D15" s="3"/>
      <c r="E15" s="2"/>
      <c r="F15" s="9" t="s">
        <v>14</v>
      </c>
      <c r="G15" s="3"/>
      <c r="H15" s="3"/>
      <c r="I15" s="9" t="s">
        <v>15</v>
      </c>
      <c r="J15" s="2"/>
      <c r="K15" s="10" t="s">
        <v>35</v>
      </c>
      <c r="M15" s="6"/>
      <c r="N15" s="8"/>
      <c r="P15" s="6"/>
      <c r="S15" s="6"/>
      <c r="V15" s="3"/>
      <c r="X15" s="3"/>
      <c r="Y15" s="3"/>
      <c r="Z15" s="3"/>
      <c r="AA15" s="3"/>
      <c r="AB15" s="3"/>
      <c r="AC15" s="3"/>
    </row>
    <row r="16" spans="1:29" ht="13">
      <c r="B16" s="11">
        <v>1</v>
      </c>
      <c r="C16" s="12">
        <v>0</v>
      </c>
      <c r="D16" s="12">
        <v>-1</v>
      </c>
      <c r="E16" s="12">
        <v>1</v>
      </c>
      <c r="F16" s="13">
        <v>1</v>
      </c>
      <c r="G16" s="13">
        <v>0</v>
      </c>
      <c r="H16" s="13">
        <v>1</v>
      </c>
      <c r="I16" s="14">
        <v>1</v>
      </c>
      <c r="J16" s="3" t="s">
        <v>16</v>
      </c>
      <c r="K16" s="2" t="s">
        <v>36</v>
      </c>
      <c r="L16" s="45" cm="1">
        <f t="array" ref="L16">MMULT($B16:$I16,L$6:L$13)</f>
        <v>4</v>
      </c>
      <c r="M16" s="6"/>
      <c r="N16" s="3" t="s">
        <v>37</v>
      </c>
      <c r="O16" s="45" cm="1">
        <f t="array" ref="O16">MMULT($B16:$I16,O$6:O$13)</f>
        <v>1.237735143783302</v>
      </c>
      <c r="P16" s="6"/>
      <c r="Q16" s="3" t="s">
        <v>38</v>
      </c>
      <c r="R16" s="45" cm="1">
        <f t="array" ref="R16">MMULT($B16:$I16,R$6:R$13)</f>
        <v>2.8497536156342989</v>
      </c>
      <c r="S16" s="6"/>
      <c r="T16" s="3" t="s">
        <v>39</v>
      </c>
      <c r="U16" s="45" cm="1">
        <f t="array" ref="U16">MMULT($B16:$I16,U$6:U$13)</f>
        <v>6.7781753249480428</v>
      </c>
      <c r="V16" s="3"/>
      <c r="X16" s="3"/>
      <c r="Z16" s="3"/>
      <c r="AA16" s="3"/>
      <c r="AB16" s="3"/>
    </row>
    <row r="17" spans="1:29" ht="13">
      <c r="B17" s="15">
        <v>0</v>
      </c>
      <c r="C17" s="4">
        <v>2</v>
      </c>
      <c r="D17" s="4">
        <v>1</v>
      </c>
      <c r="E17" s="4">
        <v>0</v>
      </c>
      <c r="F17" s="16">
        <v>0</v>
      </c>
      <c r="G17" s="16">
        <v>1</v>
      </c>
      <c r="H17" s="16">
        <v>1</v>
      </c>
      <c r="I17" s="17">
        <v>-1</v>
      </c>
      <c r="J17" s="3" t="s">
        <v>16</v>
      </c>
      <c r="L17" s="45" cm="1">
        <f t="array" ref="L17">MMULT($B17:$I17,L$6:L$13)</f>
        <v>-3</v>
      </c>
      <c r="M17" s="6"/>
      <c r="N17" s="6"/>
      <c r="O17" s="45" cm="1">
        <f t="array" ref="O17">MMULT($B17:$I17,O$6:O$13)</f>
        <v>-1.7566489096424953</v>
      </c>
      <c r="P17" s="6"/>
      <c r="Q17" s="3"/>
      <c r="R17" s="45" cm="1">
        <f t="array" ref="R17">MMULT($B17:$I17,R$6:R$13)</f>
        <v>6.2817659157005989E-2</v>
      </c>
      <c r="S17" s="6"/>
      <c r="T17" s="3"/>
      <c r="U17" s="45" cm="1">
        <f t="array" ref="U17">MMULT($B17:$I17,U$6:U$13)</f>
        <v>2.847583377970313</v>
      </c>
      <c r="V17" s="3"/>
      <c r="W17" s="3"/>
      <c r="X17" s="3"/>
      <c r="Y17" s="3"/>
      <c r="Z17" s="3"/>
      <c r="AA17" s="3"/>
      <c r="AB17" s="3"/>
      <c r="AC17" s="3"/>
    </row>
    <row r="18" spans="1:29" ht="13">
      <c r="B18" s="18">
        <v>1</v>
      </c>
      <c r="C18" s="19">
        <v>2</v>
      </c>
      <c r="D18" s="19">
        <v>1</v>
      </c>
      <c r="E18" s="19">
        <v>0</v>
      </c>
      <c r="F18" s="20">
        <v>0</v>
      </c>
      <c r="G18" s="20">
        <v>1</v>
      </c>
      <c r="H18" s="20">
        <v>0</v>
      </c>
      <c r="I18" s="21">
        <v>-1</v>
      </c>
      <c r="J18" s="3" t="s">
        <v>16</v>
      </c>
      <c r="L18" s="45" cm="1">
        <f t="array" ref="L18">MMULT($B18:$I18,L$6:L$13)</f>
        <v>-1</v>
      </c>
      <c r="M18" s="6"/>
      <c r="N18" s="6"/>
      <c r="O18" s="45" cm="1">
        <f t="array" ref="O18">MMULT($B18:$I18,O$6:O$13)</f>
        <v>4.9452463132695357E-3</v>
      </c>
      <c r="P18" s="6"/>
      <c r="Q18" s="3"/>
      <c r="R18" s="45" cm="1">
        <f t="array" ref="R18">MMULT($B18:$I18,R$6:R$13)</f>
        <v>1.0578724531561017</v>
      </c>
      <c r="S18" s="6"/>
      <c r="T18" s="3"/>
      <c r="U18" s="45" cm="1">
        <f t="array" ref="U18">MMULT($B18:$I18,U$6:U$13)</f>
        <v>3.0627351619882059</v>
      </c>
      <c r="V18" s="3"/>
      <c r="W18" s="3"/>
      <c r="X18" s="3"/>
      <c r="Y18" s="3"/>
      <c r="Z18" s="3"/>
      <c r="AA18" s="3"/>
      <c r="AB18" s="3"/>
      <c r="AC18" s="10"/>
    </row>
    <row r="19" spans="1:29" ht="25.5" customHeight="1">
      <c r="C19" s="3"/>
      <c r="D19" s="3"/>
      <c r="E19" s="3"/>
      <c r="F19" s="3"/>
      <c r="G19" s="3"/>
      <c r="H19" s="3"/>
      <c r="I19" s="3"/>
      <c r="J19" s="3"/>
      <c r="K19" s="22" t="s">
        <v>17</v>
      </c>
      <c r="L19" s="23" t="s">
        <v>18</v>
      </c>
      <c r="M19" s="24"/>
      <c r="N19" s="25"/>
      <c r="O19" s="23" t="s">
        <v>18</v>
      </c>
      <c r="P19" s="24"/>
      <c r="Q19" s="26"/>
      <c r="R19" s="23" t="s">
        <v>18</v>
      </c>
      <c r="S19" s="24"/>
      <c r="T19" s="26"/>
      <c r="U19" s="23" t="s">
        <v>18</v>
      </c>
      <c r="V19" s="3"/>
      <c r="X19" s="3"/>
      <c r="Y19" s="3"/>
      <c r="Z19" s="3"/>
      <c r="AA19" s="3"/>
      <c r="AB19" s="3"/>
    </row>
    <row r="20" spans="1:29" ht="13">
      <c r="D20" s="3"/>
      <c r="E20" s="3"/>
      <c r="F20" s="27"/>
      <c r="K20" s="28" t="s">
        <v>19</v>
      </c>
      <c r="L20" s="29"/>
      <c r="M20" s="6"/>
      <c r="N20" s="3"/>
      <c r="O20" s="29"/>
      <c r="P20" s="6"/>
      <c r="Q20" s="2"/>
      <c r="R20" s="29"/>
      <c r="S20" s="6"/>
      <c r="T20" s="3"/>
      <c r="U20" s="29"/>
      <c r="V20" s="3"/>
      <c r="X20" s="3"/>
      <c r="Z20" s="3"/>
      <c r="AA20" s="3"/>
      <c r="AB20" s="3"/>
      <c r="AC20" s="28"/>
    </row>
    <row r="21" spans="1:29" ht="13">
      <c r="D21" s="3"/>
      <c r="E21" s="3"/>
      <c r="F21" s="27"/>
      <c r="K21" s="3" t="s">
        <v>9</v>
      </c>
      <c r="L21" s="38">
        <f>TANH(L16)</f>
        <v>0.99932929973906692</v>
      </c>
      <c r="M21" s="6"/>
      <c r="N21" s="3" t="s">
        <v>10</v>
      </c>
      <c r="O21" s="38">
        <f t="shared" ref="O21:O23" si="0">TANH(O16)</f>
        <v>0.84480840963339454</v>
      </c>
      <c r="P21" s="6"/>
      <c r="Q21" s="2" t="s">
        <v>11</v>
      </c>
      <c r="R21" s="38">
        <f t="shared" ref="R21:R23" si="1">TANH(R16)</f>
        <v>0.99332710896593535</v>
      </c>
      <c r="S21" s="6"/>
      <c r="T21" s="3" t="s">
        <v>20</v>
      </c>
      <c r="U21" s="38">
        <f t="shared" ref="U21:U23" si="2">TANH(U16)</f>
        <v>0.99999740832135109</v>
      </c>
      <c r="V21" s="3"/>
      <c r="X21" s="3"/>
      <c r="Z21" s="3"/>
      <c r="AA21" s="3"/>
      <c r="AB21" s="3"/>
    </row>
    <row r="22" spans="1:29" ht="13">
      <c r="D22" s="3"/>
      <c r="E22" s="3"/>
      <c r="F22" s="27"/>
      <c r="K22" s="3"/>
      <c r="L22" s="38">
        <f>TANH(L17)</f>
        <v>-0.99505475368673058</v>
      </c>
      <c r="M22" s="6"/>
      <c r="N22" s="6"/>
      <c r="O22" s="38">
        <f t="shared" si="0"/>
        <v>-0.94212754684389821</v>
      </c>
      <c r="P22" s="6"/>
      <c r="Q22" s="3"/>
      <c r="R22" s="38">
        <f t="shared" si="1"/>
        <v>6.2735161988205848E-2</v>
      </c>
      <c r="S22" s="6"/>
      <c r="T22" s="26"/>
      <c r="U22" s="38">
        <f t="shared" si="2"/>
        <v>0.99329817976335721</v>
      </c>
      <c r="V22" s="3"/>
      <c r="W22" s="3"/>
      <c r="X22" s="3"/>
      <c r="Y22" s="3"/>
      <c r="Z22" s="3"/>
      <c r="AA22" s="3"/>
      <c r="AB22" s="3"/>
      <c r="AC22" s="3"/>
    </row>
    <row r="23" spans="1:29" ht="13">
      <c r="A23" s="5"/>
      <c r="B23" s="5"/>
      <c r="D23" s="3"/>
      <c r="E23" s="3"/>
      <c r="F23" s="3"/>
      <c r="G23" s="3"/>
      <c r="H23" s="3"/>
      <c r="I23" s="3"/>
      <c r="J23" s="3"/>
      <c r="K23" s="3"/>
      <c r="L23" s="38">
        <f>TANH(L18)</f>
        <v>-0.76159415595576485</v>
      </c>
      <c r="M23" s="3"/>
      <c r="N23" s="3"/>
      <c r="O23" s="38">
        <f t="shared" si="0"/>
        <v>4.945206000904266E-3</v>
      </c>
      <c r="P23" s="3"/>
      <c r="Q23" s="3"/>
      <c r="R23" s="38">
        <f t="shared" si="1"/>
        <v>0.78484821598210719</v>
      </c>
      <c r="S23" s="26"/>
      <c r="T23" s="26"/>
      <c r="U23" s="38">
        <f t="shared" si="2"/>
        <v>0.99563661531598702</v>
      </c>
      <c r="V23" s="3"/>
      <c r="W23" s="3"/>
      <c r="X23" s="3"/>
      <c r="Y23" s="3"/>
      <c r="Z23" s="3"/>
      <c r="AA23" s="3"/>
      <c r="AB23" s="3"/>
      <c r="AC23" s="3"/>
    </row>
    <row r="24" spans="1:29" ht="13">
      <c r="L24" s="3">
        <v>1</v>
      </c>
      <c r="O24" s="3">
        <v>1</v>
      </c>
      <c r="R24" s="3">
        <v>1</v>
      </c>
      <c r="U24" s="3">
        <v>1</v>
      </c>
      <c r="Z24" s="3"/>
      <c r="AA24" s="3"/>
      <c r="AB24" s="3"/>
    </row>
    <row r="25" spans="1:29" ht="13">
      <c r="G25" s="27"/>
      <c r="H25" s="27"/>
      <c r="L25" s="3" t="s">
        <v>12</v>
      </c>
      <c r="O25" s="3" t="s">
        <v>12</v>
      </c>
      <c r="R25" s="3" t="s">
        <v>12</v>
      </c>
      <c r="U25" s="3" t="s">
        <v>12</v>
      </c>
      <c r="Z25" s="3"/>
      <c r="AA25" s="3"/>
      <c r="AB25" s="3"/>
    </row>
    <row r="26" spans="1:29" ht="14" thickBot="1">
      <c r="F26" s="9" t="s">
        <v>21</v>
      </c>
      <c r="G26" s="30"/>
      <c r="H26" s="30"/>
      <c r="I26" s="9" t="s">
        <v>22</v>
      </c>
      <c r="J26" s="3"/>
      <c r="K26" s="28" t="s">
        <v>23</v>
      </c>
      <c r="L26" s="29"/>
      <c r="N26" s="2"/>
      <c r="Q26" s="2"/>
      <c r="R26" s="29"/>
      <c r="T26" s="2"/>
      <c r="U26" s="29"/>
      <c r="Z26" s="3"/>
      <c r="AA26" s="3"/>
      <c r="AB26" s="3"/>
      <c r="AC26" s="28"/>
    </row>
    <row r="27" spans="1:29" ht="14" thickBot="1">
      <c r="F27" s="31">
        <v>3</v>
      </c>
      <c r="G27" s="32">
        <v>0</v>
      </c>
      <c r="H27" s="32">
        <v>-1</v>
      </c>
      <c r="I27" s="33">
        <v>3</v>
      </c>
      <c r="J27" s="3" t="s">
        <v>16</v>
      </c>
      <c r="K27" s="2" t="s">
        <v>24</v>
      </c>
      <c r="L27" s="38">
        <f t="array" ref="L27">MMULT($F27:$I27,L21:L24)</f>
        <v>6.7595820551729657</v>
      </c>
      <c r="N27" s="2" t="s">
        <v>25</v>
      </c>
      <c r="O27" s="38">
        <f t="array" ref="O27">MMULT($F27:$I27,O21:O24)</f>
        <v>5.5294800228992802</v>
      </c>
      <c r="Q27" s="2" t="s">
        <v>26</v>
      </c>
      <c r="R27" s="38">
        <f t="array" ref="R27">MMULT($F27:$I27,R21:R24)</f>
        <v>5.1951331109156991</v>
      </c>
      <c r="T27" s="2" t="s">
        <v>27</v>
      </c>
      <c r="U27" s="38">
        <f t="array" ref="U27">MMULT($F27:$I27,U21:U24)</f>
        <v>5.0043556096480666</v>
      </c>
      <c r="Z27" s="3"/>
      <c r="AA27" s="3"/>
      <c r="AB27" s="3"/>
      <c r="AC27" s="28"/>
    </row>
    <row r="28" spans="1:29" ht="25.5" customHeight="1">
      <c r="J28" s="34" t="s">
        <v>28</v>
      </c>
      <c r="L28" s="23" t="s">
        <v>18</v>
      </c>
      <c r="M28" s="35"/>
      <c r="N28" s="35"/>
      <c r="O28" s="23" t="s">
        <v>18</v>
      </c>
      <c r="P28" s="35"/>
      <c r="Q28" s="35"/>
      <c r="R28" s="23" t="s">
        <v>18</v>
      </c>
      <c r="S28" s="35"/>
      <c r="T28" s="35"/>
      <c r="U28" s="23" t="s">
        <v>18</v>
      </c>
      <c r="Z28" s="3"/>
      <c r="AA28" s="3"/>
      <c r="AB28" s="3"/>
    </row>
    <row r="29" spans="1:29" ht="13">
      <c r="F29" s="5" t="s">
        <v>29</v>
      </c>
      <c r="K29" s="3" t="s">
        <v>30</v>
      </c>
      <c r="L29" s="44">
        <f>1/(1+EXP(-L27))</f>
        <v>0.99884162960909084</v>
      </c>
      <c r="N29" s="3" t="s">
        <v>31</v>
      </c>
      <c r="O29" s="44">
        <f>1/(1+EXP(-O27))</f>
        <v>0.99604763135486318</v>
      </c>
      <c r="Q29" s="3" t="s">
        <v>32</v>
      </c>
      <c r="R29" s="44">
        <f>1/(1+EXP(-R27))</f>
        <v>0.99448708237122485</v>
      </c>
      <c r="T29" s="3" t="s">
        <v>33</v>
      </c>
      <c r="U29" s="44">
        <f>1/(1+EXP(-U27))</f>
        <v>0.99333604328616831</v>
      </c>
      <c r="Z29" s="3"/>
      <c r="AA29" s="3"/>
      <c r="AB29" s="3"/>
      <c r="AC29" s="28"/>
    </row>
    <row r="30" spans="1:29" ht="13">
      <c r="Z30" s="3"/>
      <c r="AA30" s="3"/>
      <c r="AB30" s="3"/>
    </row>
    <row r="31" spans="1:29" ht="13">
      <c r="Z31" s="3"/>
      <c r="AA31" s="3"/>
      <c r="AB31" s="3"/>
    </row>
    <row r="32" spans="1:29" ht="13">
      <c r="Z32" s="3"/>
      <c r="AA32" s="3"/>
      <c r="AB32" s="3"/>
    </row>
    <row r="33" spans="26:28" ht="13">
      <c r="Z33" s="3"/>
      <c r="AA33" s="3"/>
      <c r="AB33" s="3"/>
    </row>
    <row r="34" spans="26:28" ht="13">
      <c r="Z34" s="3"/>
      <c r="AA34" s="3"/>
      <c r="AB34" s="3"/>
    </row>
    <row r="35" spans="26:28" ht="13">
      <c r="AA35" s="3"/>
      <c r="AB35" s="3"/>
    </row>
    <row r="36" spans="26:28" ht="13">
      <c r="AA36" s="3"/>
      <c r="AB36" s="3"/>
    </row>
    <row r="37" spans="26:28" ht="13">
      <c r="AA37" s="3"/>
      <c r="AB37" s="3"/>
    </row>
    <row r="38" spans="26:28" ht="13">
      <c r="AA38" s="3"/>
      <c r="AB38" s="3"/>
    </row>
    <row r="39" spans="26:28" ht="13">
      <c r="AA39" s="3"/>
      <c r="AB39" s="3"/>
    </row>
    <row r="40" spans="26:28" ht="13">
      <c r="AA40" s="3"/>
      <c r="AB40" s="3"/>
    </row>
    <row r="41" spans="26:28" ht="13">
      <c r="AA41" s="3"/>
      <c r="AB41" s="3"/>
    </row>
    <row r="42" spans="26:28" ht="13">
      <c r="AA42" s="3"/>
      <c r="AB42" s="3"/>
    </row>
    <row r="43" spans="26:28" ht="13">
      <c r="AA43" s="3"/>
      <c r="AB43" s="3"/>
    </row>
    <row r="44" spans="26:28" ht="13">
      <c r="AA44" s="3"/>
      <c r="AB44" s="3"/>
    </row>
    <row r="45" spans="26:28" ht="13">
      <c r="AA45" s="3"/>
      <c r="AB45" s="3"/>
    </row>
    <row r="46" spans="26:28" ht="13">
      <c r="AA46" s="3"/>
      <c r="AB46" s="3"/>
    </row>
    <row r="47" spans="26:28" ht="13">
      <c r="AA47" s="3"/>
      <c r="AB47" s="3"/>
    </row>
    <row r="48" spans="26:28" ht="13">
      <c r="AA48" s="3"/>
      <c r="AB48" s="3"/>
    </row>
    <row r="49" spans="27:28" ht="13">
      <c r="AA49" s="3"/>
      <c r="AB49" s="3"/>
    </row>
    <row r="50" spans="27:28" ht="13">
      <c r="AA50" s="3"/>
      <c r="AB50" s="3"/>
    </row>
    <row r="51" spans="27:28" ht="13">
      <c r="AA51" s="3"/>
      <c r="AB51" s="3"/>
    </row>
    <row r="52" spans="27:28" ht="13">
      <c r="AA52" s="3"/>
      <c r="AB52" s="3"/>
    </row>
    <row r="53" spans="27:28" ht="13">
      <c r="AA53" s="3"/>
      <c r="AB53" s="3"/>
    </row>
    <row r="54" spans="27:28" ht="13">
      <c r="AA54" s="3"/>
      <c r="AB54" s="3"/>
    </row>
    <row r="55" spans="27:28" ht="13">
      <c r="AA55" s="3"/>
      <c r="AB55" s="3"/>
    </row>
    <row r="56" spans="27:28" ht="13">
      <c r="AA56" s="3"/>
      <c r="AB56" s="3"/>
    </row>
    <row r="57" spans="27:28" ht="13">
      <c r="AA57" s="3"/>
      <c r="AB57" s="3"/>
    </row>
    <row r="58" spans="27:28" ht="13">
      <c r="AA58" s="3"/>
      <c r="AB58" s="3"/>
    </row>
    <row r="59" spans="27:28" ht="13">
      <c r="AA59" s="3"/>
      <c r="AB59" s="3"/>
    </row>
    <row r="60" spans="27:28" ht="13">
      <c r="AA60" s="3"/>
      <c r="AB60" s="3"/>
    </row>
    <row r="61" spans="27:28" ht="13">
      <c r="AA61" s="3"/>
      <c r="AB61" s="3"/>
    </row>
    <row r="62" spans="27:28" ht="13">
      <c r="AA62" s="3"/>
      <c r="AB62" s="3"/>
    </row>
    <row r="63" spans="27:28" ht="13">
      <c r="AA63" s="3"/>
      <c r="AB63" s="3"/>
    </row>
    <row r="64" spans="27:28" ht="13">
      <c r="AA64" s="3"/>
      <c r="AB64" s="3"/>
    </row>
    <row r="65" spans="27:28" ht="13">
      <c r="AA65" s="3"/>
      <c r="AB65" s="3"/>
    </row>
    <row r="66" spans="27:28" ht="13">
      <c r="AA66" s="3"/>
      <c r="AB66" s="3"/>
    </row>
    <row r="67" spans="27:28" ht="13">
      <c r="AA67" s="3"/>
      <c r="AB67" s="3"/>
    </row>
    <row r="68" spans="27:28" ht="13">
      <c r="AA68" s="3"/>
      <c r="AB68" s="3"/>
    </row>
    <row r="69" spans="27:28" ht="13">
      <c r="AA69" s="3"/>
      <c r="AB69" s="3"/>
    </row>
    <row r="70" spans="27:28" ht="13">
      <c r="AA70" s="3"/>
      <c r="AB70" s="3"/>
    </row>
    <row r="71" spans="27:28" ht="13">
      <c r="AA71" s="3"/>
      <c r="AB71" s="3"/>
    </row>
    <row r="72" spans="27:28" ht="13">
      <c r="AA72" s="3"/>
      <c r="AB72" s="3"/>
    </row>
    <row r="73" spans="27:28" ht="13">
      <c r="AA73" s="3"/>
      <c r="AB73" s="3"/>
    </row>
    <row r="74" spans="27:28" ht="13">
      <c r="AA74" s="3"/>
      <c r="AB74" s="3"/>
    </row>
    <row r="75" spans="27:28" ht="13">
      <c r="AA75" s="3"/>
      <c r="AB75" s="3"/>
    </row>
    <row r="76" spans="27:28" ht="13">
      <c r="AA76" s="3"/>
      <c r="AB76" s="3"/>
    </row>
    <row r="77" spans="27:28" ht="13">
      <c r="AA77" s="3"/>
      <c r="AB77" s="3"/>
    </row>
    <row r="78" spans="27:28" ht="13">
      <c r="AA78" s="3"/>
      <c r="AB78" s="3"/>
    </row>
    <row r="79" spans="27:28" ht="13">
      <c r="AA79" s="3"/>
      <c r="AB79" s="3"/>
    </row>
    <row r="80" spans="27:28" ht="13">
      <c r="AA80" s="3"/>
      <c r="AB80" s="3"/>
    </row>
    <row r="81" spans="27:28" ht="13">
      <c r="AA81" s="3"/>
      <c r="AB81" s="3"/>
    </row>
    <row r="82" spans="27:28" ht="13">
      <c r="AA82" s="3"/>
      <c r="AB82" s="3"/>
    </row>
    <row r="83" spans="27:28" ht="13">
      <c r="AA83" s="3"/>
      <c r="AB83" s="3"/>
    </row>
    <row r="84" spans="27:28" ht="13">
      <c r="AA84" s="3"/>
      <c r="AB84" s="3"/>
    </row>
    <row r="85" spans="27:28" ht="13">
      <c r="AA85" s="3"/>
      <c r="AB85" s="3"/>
    </row>
    <row r="86" spans="27:28" ht="13">
      <c r="AA86" s="3"/>
      <c r="AB86" s="3"/>
    </row>
    <row r="87" spans="27:28" ht="13">
      <c r="AA87" s="3"/>
      <c r="AB87" s="3"/>
    </row>
    <row r="88" spans="27:28" ht="13">
      <c r="AA88" s="3"/>
      <c r="AB88" s="3"/>
    </row>
    <row r="89" spans="27:28" ht="13">
      <c r="AA89" s="3"/>
      <c r="AB89" s="3"/>
    </row>
    <row r="90" spans="27:28" ht="13">
      <c r="AA90" s="3"/>
      <c r="AB90" s="3"/>
    </row>
    <row r="91" spans="27:28" ht="13">
      <c r="AA91" s="3"/>
      <c r="AB91" s="3"/>
    </row>
    <row r="92" spans="27:28" ht="13">
      <c r="AA92" s="3"/>
      <c r="AB92" s="3"/>
    </row>
    <row r="93" spans="27:28" ht="13">
      <c r="AA93" s="3"/>
      <c r="AB93" s="3"/>
    </row>
    <row r="94" spans="27:28" ht="13">
      <c r="AA94" s="3"/>
      <c r="AB94" s="3"/>
    </row>
    <row r="95" spans="27:28" ht="13">
      <c r="AA95" s="3"/>
      <c r="AB95" s="3"/>
    </row>
    <row r="96" spans="27:28" ht="13">
      <c r="AA96" s="3"/>
      <c r="AB96" s="3"/>
    </row>
    <row r="97" spans="27:28" ht="13">
      <c r="AA97" s="3"/>
      <c r="AB97" s="3"/>
    </row>
    <row r="98" spans="27:28" ht="13">
      <c r="AA98" s="3"/>
      <c r="AB98" s="3"/>
    </row>
    <row r="99" spans="27:28" ht="13">
      <c r="AA99" s="3"/>
      <c r="AB99" s="3"/>
    </row>
    <row r="100" spans="27:28" ht="13">
      <c r="AA100" s="3"/>
      <c r="AB100" s="3"/>
    </row>
    <row r="101" spans="27:28" ht="13">
      <c r="AA101" s="3"/>
      <c r="AB101" s="3"/>
    </row>
    <row r="102" spans="27:28" ht="13">
      <c r="AA102" s="3"/>
      <c r="AB102" s="3"/>
    </row>
    <row r="103" spans="27:28" ht="13">
      <c r="AA103" s="3"/>
      <c r="AB103" s="3"/>
    </row>
    <row r="104" spans="27:28" ht="13">
      <c r="AA104" s="3"/>
      <c r="AB104" s="3"/>
    </row>
    <row r="105" spans="27:28" ht="13">
      <c r="AA105" s="3"/>
      <c r="AB105" s="3"/>
    </row>
    <row r="106" spans="27:28" ht="13">
      <c r="AA106" s="3"/>
      <c r="AB106" s="3"/>
    </row>
    <row r="107" spans="27:28" ht="13">
      <c r="AA107" s="3"/>
      <c r="AB107" s="3"/>
    </row>
    <row r="108" spans="27:28" ht="13">
      <c r="AA108" s="3"/>
      <c r="AB108" s="3"/>
    </row>
    <row r="109" spans="27:28" ht="13">
      <c r="AA109" s="3"/>
      <c r="AB109" s="3"/>
    </row>
    <row r="110" spans="27:28" ht="13">
      <c r="AA110" s="3"/>
      <c r="AB110" s="3"/>
    </row>
    <row r="111" spans="27:28" ht="13">
      <c r="AA111" s="3"/>
      <c r="AB111" s="3"/>
    </row>
    <row r="112" spans="27:28" ht="13">
      <c r="AA112" s="3"/>
      <c r="AB112" s="3"/>
    </row>
    <row r="113" spans="27:28" ht="13">
      <c r="AA113" s="3"/>
      <c r="AB113" s="3"/>
    </row>
    <row r="114" spans="27:28" ht="13">
      <c r="AA114" s="3"/>
      <c r="AB114" s="3"/>
    </row>
    <row r="115" spans="27:28" ht="13">
      <c r="AA115" s="3"/>
      <c r="AB115" s="3"/>
    </row>
    <row r="116" spans="27:28" ht="13">
      <c r="AA116" s="3"/>
      <c r="AB116" s="3"/>
    </row>
    <row r="117" spans="27:28" ht="13">
      <c r="AA117" s="3"/>
      <c r="AB117" s="3"/>
    </row>
    <row r="118" spans="27:28" ht="13">
      <c r="AA118" s="3"/>
      <c r="AB118" s="3"/>
    </row>
    <row r="119" spans="27:28" ht="13">
      <c r="AA119" s="3"/>
      <c r="AB119" s="3"/>
    </row>
    <row r="120" spans="27:28" ht="13">
      <c r="AA120" s="3"/>
      <c r="AB120" s="3"/>
    </row>
    <row r="121" spans="27:28" ht="13">
      <c r="AA121" s="3"/>
      <c r="AB121" s="3"/>
    </row>
    <row r="122" spans="27:28" ht="13">
      <c r="AA122" s="3"/>
      <c r="AB122" s="3"/>
    </row>
    <row r="123" spans="27:28" ht="13">
      <c r="AA123" s="3"/>
      <c r="AB123" s="3"/>
    </row>
    <row r="124" spans="27:28" ht="13">
      <c r="AA124" s="3"/>
      <c r="AB124" s="3"/>
    </row>
    <row r="125" spans="27:28" ht="13">
      <c r="AA125" s="3"/>
      <c r="AB125" s="3"/>
    </row>
    <row r="126" spans="27:28" ht="13">
      <c r="AA126" s="3"/>
      <c r="AB126" s="3"/>
    </row>
    <row r="127" spans="27:28" ht="13">
      <c r="AA127" s="3"/>
      <c r="AB127" s="3"/>
    </row>
    <row r="128" spans="27:28" ht="13">
      <c r="AA128" s="3"/>
      <c r="AB128" s="3"/>
    </row>
    <row r="129" spans="27:28" ht="13">
      <c r="AA129" s="3"/>
      <c r="AB129" s="3"/>
    </row>
    <row r="130" spans="27:28" ht="13">
      <c r="AA130" s="3"/>
      <c r="AB130" s="3"/>
    </row>
    <row r="131" spans="27:28" ht="13">
      <c r="AA131" s="3"/>
      <c r="AB131" s="3"/>
    </row>
    <row r="132" spans="27:28" ht="13">
      <c r="AA132" s="3"/>
      <c r="AB132" s="3"/>
    </row>
    <row r="133" spans="27:28" ht="13">
      <c r="AA133" s="3"/>
      <c r="AB133" s="3"/>
    </row>
    <row r="134" spans="27:28" ht="13">
      <c r="AA134" s="3"/>
      <c r="AB134" s="3"/>
    </row>
    <row r="135" spans="27:28" ht="13">
      <c r="AA135" s="3"/>
      <c r="AB135" s="3"/>
    </row>
    <row r="136" spans="27:28" ht="13">
      <c r="AA136" s="3"/>
      <c r="AB136" s="3"/>
    </row>
    <row r="137" spans="27:28" ht="13">
      <c r="AA137" s="3"/>
      <c r="AB137" s="3"/>
    </row>
    <row r="138" spans="27:28" ht="13">
      <c r="AA138" s="3"/>
      <c r="AB138" s="3"/>
    </row>
    <row r="139" spans="27:28" ht="13">
      <c r="AA139" s="3"/>
      <c r="AB139" s="3"/>
    </row>
    <row r="140" spans="27:28" ht="13">
      <c r="AA140" s="3"/>
      <c r="AB140" s="3"/>
    </row>
    <row r="141" spans="27:28" ht="13">
      <c r="AA141" s="3"/>
      <c r="AB141" s="3"/>
    </row>
    <row r="142" spans="27:28" ht="13">
      <c r="AA142" s="3"/>
      <c r="AB142" s="3"/>
    </row>
    <row r="143" spans="27:28" ht="13">
      <c r="AA143" s="3"/>
      <c r="AB143" s="3"/>
    </row>
    <row r="144" spans="27:28" ht="13">
      <c r="AA144" s="3"/>
      <c r="AB144" s="3"/>
    </row>
    <row r="145" spans="27:28" ht="13">
      <c r="AA145" s="3"/>
      <c r="AB145" s="3"/>
    </row>
    <row r="146" spans="27:28" ht="13">
      <c r="AA146" s="3"/>
      <c r="AB146" s="3"/>
    </row>
    <row r="147" spans="27:28" ht="13">
      <c r="AA147" s="3"/>
      <c r="AB147" s="3"/>
    </row>
    <row r="148" spans="27:28" ht="13">
      <c r="AA148" s="3"/>
      <c r="AB148" s="3"/>
    </row>
    <row r="149" spans="27:28" ht="13">
      <c r="AA149" s="3"/>
      <c r="AB149" s="3"/>
    </row>
    <row r="150" spans="27:28" ht="13">
      <c r="AA150" s="3"/>
      <c r="AB150" s="3"/>
    </row>
    <row r="151" spans="27:28" ht="13">
      <c r="AA151" s="3"/>
      <c r="AB151" s="3"/>
    </row>
    <row r="152" spans="27:28" ht="13">
      <c r="AA152" s="3"/>
      <c r="AB152" s="3"/>
    </row>
    <row r="153" spans="27:28" ht="13">
      <c r="AA153" s="3"/>
      <c r="AB153" s="3"/>
    </row>
    <row r="154" spans="27:28" ht="13">
      <c r="AA154" s="3"/>
      <c r="AB154" s="3"/>
    </row>
    <row r="155" spans="27:28" ht="13">
      <c r="AA155" s="3"/>
      <c r="AB155" s="3"/>
    </row>
    <row r="156" spans="27:28" ht="13">
      <c r="AA156" s="3"/>
      <c r="AB156" s="3"/>
    </row>
    <row r="157" spans="27:28" ht="13">
      <c r="AA157" s="3"/>
      <c r="AB157" s="3"/>
    </row>
    <row r="158" spans="27:28" ht="13">
      <c r="AA158" s="3"/>
      <c r="AB158" s="3"/>
    </row>
    <row r="159" spans="27:28" ht="13">
      <c r="AA159" s="3"/>
      <c r="AB159" s="3"/>
    </row>
    <row r="160" spans="27:28" ht="13">
      <c r="AA160" s="3"/>
      <c r="AB160" s="3"/>
    </row>
    <row r="161" spans="27:28" ht="13">
      <c r="AA161" s="3"/>
      <c r="AB161" s="3"/>
    </row>
    <row r="162" spans="27:28" ht="13">
      <c r="AA162" s="3"/>
      <c r="AB162" s="3"/>
    </row>
    <row r="163" spans="27:28" ht="13">
      <c r="AA163" s="3"/>
      <c r="AB163" s="3"/>
    </row>
    <row r="164" spans="27:28" ht="13">
      <c r="AA164" s="3"/>
      <c r="AB164" s="3"/>
    </row>
    <row r="165" spans="27:28" ht="13">
      <c r="AA165" s="3"/>
      <c r="AB165" s="3"/>
    </row>
    <row r="166" spans="27:28" ht="13">
      <c r="AA166" s="3"/>
      <c r="AB166" s="3"/>
    </row>
    <row r="167" spans="27:28" ht="13">
      <c r="AA167" s="3"/>
      <c r="AB167" s="3"/>
    </row>
    <row r="168" spans="27:28" ht="13">
      <c r="AA168" s="3"/>
      <c r="AB168" s="3"/>
    </row>
    <row r="169" spans="27:28" ht="13">
      <c r="AA169" s="3"/>
      <c r="AB169" s="3"/>
    </row>
    <row r="170" spans="27:28" ht="13">
      <c r="AA170" s="3"/>
      <c r="AB170" s="3"/>
    </row>
    <row r="171" spans="27:28" ht="13">
      <c r="AA171" s="3"/>
      <c r="AB171" s="3"/>
    </row>
    <row r="172" spans="27:28" ht="13">
      <c r="AA172" s="3"/>
      <c r="AB172" s="3"/>
    </row>
    <row r="173" spans="27:28" ht="13">
      <c r="AA173" s="3"/>
      <c r="AB173" s="3"/>
    </row>
    <row r="174" spans="27:28" ht="13">
      <c r="AA174" s="3"/>
      <c r="AB174" s="3"/>
    </row>
    <row r="175" spans="27:28" ht="13">
      <c r="AA175" s="3"/>
      <c r="AB175" s="3"/>
    </row>
    <row r="176" spans="27:28" ht="13">
      <c r="AA176" s="3"/>
      <c r="AB176" s="3"/>
    </row>
    <row r="177" spans="27:28" ht="13">
      <c r="AA177" s="3"/>
      <c r="AB177" s="3"/>
    </row>
    <row r="178" spans="27:28" ht="13">
      <c r="AA178" s="3"/>
      <c r="AB178" s="3"/>
    </row>
    <row r="179" spans="27:28" ht="13">
      <c r="AA179" s="3"/>
      <c r="AB179" s="3"/>
    </row>
    <row r="180" spans="27:28" ht="13">
      <c r="AA180" s="3"/>
      <c r="AB180" s="3"/>
    </row>
    <row r="181" spans="27:28" ht="13">
      <c r="AA181" s="3"/>
      <c r="AB181" s="3"/>
    </row>
    <row r="182" spans="27:28" ht="13">
      <c r="AA182" s="3"/>
      <c r="AB182" s="3"/>
    </row>
    <row r="183" spans="27:28" ht="13">
      <c r="AA183" s="3"/>
      <c r="AB183" s="3"/>
    </row>
    <row r="184" spans="27:28" ht="13">
      <c r="AA184" s="3"/>
      <c r="AB184" s="3"/>
    </row>
    <row r="185" spans="27:28" ht="13">
      <c r="AA185" s="3"/>
      <c r="AB185" s="3"/>
    </row>
    <row r="186" spans="27:28" ht="13">
      <c r="AA186" s="3"/>
      <c r="AB186" s="3"/>
    </row>
    <row r="187" spans="27:28" ht="13">
      <c r="AA187" s="3"/>
      <c r="AB187" s="3"/>
    </row>
    <row r="188" spans="27:28" ht="13">
      <c r="AA188" s="3"/>
      <c r="AB188" s="3"/>
    </row>
    <row r="189" spans="27:28" ht="13">
      <c r="AA189" s="3"/>
      <c r="AB189" s="3"/>
    </row>
    <row r="190" spans="27:28" ht="13">
      <c r="AA190" s="3"/>
      <c r="AB190" s="3"/>
    </row>
    <row r="191" spans="27:28" ht="13">
      <c r="AA191" s="3"/>
      <c r="AB191" s="3"/>
    </row>
    <row r="192" spans="27:28" ht="13">
      <c r="AA192" s="3"/>
      <c r="AB192" s="3"/>
    </row>
    <row r="193" spans="27:28" ht="13">
      <c r="AA193" s="3"/>
      <c r="AB193" s="3"/>
    </row>
    <row r="194" spans="27:28" ht="13">
      <c r="AA194" s="3"/>
      <c r="AB194" s="3"/>
    </row>
    <row r="195" spans="27:28" ht="13">
      <c r="AA195" s="3"/>
      <c r="AB195" s="3"/>
    </row>
    <row r="196" spans="27:28" ht="13">
      <c r="AA196" s="3"/>
      <c r="AB196" s="3"/>
    </row>
    <row r="197" spans="27:28" ht="13">
      <c r="AA197" s="3"/>
      <c r="AB197" s="3"/>
    </row>
    <row r="198" spans="27:28" ht="13">
      <c r="AA198" s="3"/>
      <c r="AB198" s="3"/>
    </row>
    <row r="199" spans="27:28" ht="13">
      <c r="AA199" s="3"/>
      <c r="AB199" s="3"/>
    </row>
    <row r="200" spans="27:28" ht="13">
      <c r="AA200" s="3"/>
      <c r="AB200" s="3"/>
    </row>
    <row r="201" spans="27:28" ht="13">
      <c r="AA201" s="3"/>
      <c r="AB201" s="3"/>
    </row>
    <row r="202" spans="27:28" ht="13">
      <c r="AA202" s="3"/>
      <c r="AB202" s="3"/>
    </row>
    <row r="203" spans="27:28" ht="13">
      <c r="AA203" s="3"/>
      <c r="AB203" s="3"/>
    </row>
    <row r="204" spans="27:28" ht="13">
      <c r="AA204" s="3"/>
      <c r="AB204" s="3"/>
    </row>
    <row r="205" spans="27:28" ht="13">
      <c r="AA205" s="3"/>
      <c r="AB205" s="3"/>
    </row>
    <row r="206" spans="27:28" ht="13">
      <c r="AA206" s="3"/>
      <c r="AB206" s="3"/>
    </row>
    <row r="207" spans="27:28" ht="13">
      <c r="AA207" s="3"/>
      <c r="AB207" s="3"/>
    </row>
    <row r="208" spans="27:28" ht="13">
      <c r="AA208" s="3"/>
      <c r="AB208" s="3"/>
    </row>
    <row r="209" spans="27:28" ht="13">
      <c r="AA209" s="3"/>
      <c r="AB209" s="3"/>
    </row>
    <row r="210" spans="27:28" ht="13">
      <c r="AA210" s="3"/>
      <c r="AB210" s="3"/>
    </row>
    <row r="211" spans="27:28" ht="13">
      <c r="AA211" s="3"/>
      <c r="AB211" s="3"/>
    </row>
    <row r="212" spans="27:28" ht="13">
      <c r="AA212" s="3"/>
      <c r="AB212" s="3"/>
    </row>
    <row r="213" spans="27:28" ht="13">
      <c r="AA213" s="3"/>
      <c r="AB213" s="3"/>
    </row>
    <row r="214" spans="27:28" ht="13">
      <c r="AA214" s="3"/>
      <c r="AB214" s="3"/>
    </row>
    <row r="215" spans="27:28" ht="13">
      <c r="AA215" s="3"/>
      <c r="AB215" s="3"/>
    </row>
    <row r="216" spans="27:28" ht="13">
      <c r="AA216" s="3"/>
      <c r="AB216" s="3"/>
    </row>
    <row r="217" spans="27:28" ht="13">
      <c r="AA217" s="3"/>
      <c r="AB217" s="3"/>
    </row>
    <row r="218" spans="27:28" ht="13">
      <c r="AA218" s="3"/>
      <c r="AB218" s="3"/>
    </row>
    <row r="219" spans="27:28" ht="13">
      <c r="AA219" s="3"/>
      <c r="AB219" s="3"/>
    </row>
    <row r="220" spans="27:28" ht="13">
      <c r="AA220" s="3"/>
      <c r="AB220" s="3"/>
    </row>
    <row r="221" spans="27:28" ht="13">
      <c r="AA221" s="3"/>
      <c r="AB221" s="3"/>
    </row>
    <row r="222" spans="27:28" ht="13">
      <c r="AA222" s="3"/>
      <c r="AB222" s="3"/>
    </row>
    <row r="223" spans="27:28" ht="13">
      <c r="AA223" s="3"/>
      <c r="AB223" s="3"/>
    </row>
    <row r="224" spans="27:28" ht="13">
      <c r="AA224" s="3"/>
      <c r="AB224" s="3"/>
    </row>
    <row r="225" spans="27:28" ht="13">
      <c r="AA225" s="3"/>
      <c r="AB225" s="3"/>
    </row>
    <row r="226" spans="27:28" ht="13">
      <c r="AA226" s="3"/>
      <c r="AB226" s="3"/>
    </row>
    <row r="227" spans="27:28" ht="13">
      <c r="AA227" s="3"/>
      <c r="AB227" s="3"/>
    </row>
    <row r="228" spans="27:28" ht="13">
      <c r="AA228" s="3"/>
      <c r="AB228" s="3"/>
    </row>
    <row r="229" spans="27:28" ht="13">
      <c r="AA229" s="3"/>
      <c r="AB229" s="3"/>
    </row>
    <row r="230" spans="27:28" ht="13">
      <c r="AA230" s="3"/>
      <c r="AB230" s="3"/>
    </row>
    <row r="231" spans="27:28" ht="13">
      <c r="AA231" s="3"/>
      <c r="AB231" s="3"/>
    </row>
    <row r="232" spans="27:28" ht="13">
      <c r="AA232" s="3"/>
      <c r="AB232" s="3"/>
    </row>
    <row r="233" spans="27:28" ht="13">
      <c r="AA233" s="3"/>
      <c r="AB233" s="3"/>
    </row>
    <row r="234" spans="27:28" ht="13">
      <c r="AA234" s="3"/>
      <c r="AB234" s="3"/>
    </row>
    <row r="235" spans="27:28" ht="13">
      <c r="AA235" s="3"/>
      <c r="AB235" s="3"/>
    </row>
    <row r="236" spans="27:28" ht="13">
      <c r="AA236" s="3"/>
      <c r="AB236" s="3"/>
    </row>
    <row r="237" spans="27:28" ht="13">
      <c r="AA237" s="3"/>
      <c r="AB237" s="3"/>
    </row>
    <row r="238" spans="27:28" ht="13">
      <c r="AA238" s="3"/>
      <c r="AB238" s="3"/>
    </row>
    <row r="239" spans="27:28" ht="13">
      <c r="AA239" s="3"/>
      <c r="AB239" s="3"/>
    </row>
    <row r="240" spans="27:28" ht="13">
      <c r="AA240" s="3"/>
      <c r="AB240" s="3"/>
    </row>
    <row r="241" spans="27:28" ht="13">
      <c r="AA241" s="3"/>
      <c r="AB241" s="3"/>
    </row>
    <row r="242" spans="27:28" ht="13">
      <c r="AA242" s="3"/>
      <c r="AB242" s="3"/>
    </row>
    <row r="243" spans="27:28" ht="13">
      <c r="AA243" s="3"/>
      <c r="AB243" s="3"/>
    </row>
    <row r="244" spans="27:28" ht="13">
      <c r="AA244" s="3"/>
      <c r="AB244" s="3"/>
    </row>
    <row r="245" spans="27:28" ht="13">
      <c r="AA245" s="3"/>
      <c r="AB245" s="3"/>
    </row>
    <row r="246" spans="27:28" ht="13">
      <c r="AA246" s="3"/>
      <c r="AB246" s="3"/>
    </row>
    <row r="247" spans="27:28" ht="13">
      <c r="AA247" s="3"/>
      <c r="AB247" s="3"/>
    </row>
    <row r="248" spans="27:28" ht="13">
      <c r="AA248" s="3"/>
      <c r="AB248" s="3"/>
    </row>
    <row r="249" spans="27:28" ht="13">
      <c r="AA249" s="3"/>
      <c r="AB249" s="3"/>
    </row>
    <row r="250" spans="27:28" ht="13">
      <c r="AA250" s="3"/>
      <c r="AB250" s="3"/>
    </row>
    <row r="251" spans="27:28" ht="13">
      <c r="AA251" s="3"/>
      <c r="AB251" s="3"/>
    </row>
    <row r="252" spans="27:28" ht="13">
      <c r="AA252" s="3"/>
      <c r="AB252" s="3"/>
    </row>
    <row r="253" spans="27:28" ht="13">
      <c r="AA253" s="3"/>
      <c r="AB253" s="3"/>
    </row>
    <row r="254" spans="27:28" ht="13">
      <c r="AA254" s="3"/>
      <c r="AB254" s="3"/>
    </row>
    <row r="255" spans="27:28" ht="13">
      <c r="AA255" s="3"/>
      <c r="AB255" s="3"/>
    </row>
    <row r="256" spans="27:28" ht="13">
      <c r="AA256" s="3"/>
      <c r="AB256" s="3"/>
    </row>
    <row r="257" spans="27:28" ht="13">
      <c r="AA257" s="3"/>
      <c r="AB257" s="3"/>
    </row>
    <row r="258" spans="27:28" ht="13">
      <c r="AA258" s="3"/>
      <c r="AB258" s="3"/>
    </row>
    <row r="259" spans="27:28" ht="13">
      <c r="AA259" s="3"/>
      <c r="AB259" s="3"/>
    </row>
    <row r="260" spans="27:28" ht="13">
      <c r="AA260" s="3"/>
      <c r="AB260" s="3"/>
    </row>
    <row r="261" spans="27:28" ht="13">
      <c r="AA261" s="3"/>
      <c r="AB261" s="3"/>
    </row>
    <row r="262" spans="27:28" ht="13">
      <c r="AA262" s="3"/>
      <c r="AB262" s="3"/>
    </row>
    <row r="263" spans="27:28" ht="13">
      <c r="AA263" s="3"/>
      <c r="AB263" s="3"/>
    </row>
    <row r="264" spans="27:28" ht="13">
      <c r="AA264" s="3"/>
      <c r="AB264" s="3"/>
    </row>
    <row r="265" spans="27:28" ht="13">
      <c r="AA265" s="3"/>
      <c r="AB265" s="3"/>
    </row>
    <row r="266" spans="27:28" ht="13">
      <c r="AA266" s="3"/>
      <c r="AB266" s="3"/>
    </row>
    <row r="267" spans="27:28" ht="13">
      <c r="AA267" s="3"/>
      <c r="AB267" s="3"/>
    </row>
    <row r="268" spans="27:28" ht="13">
      <c r="AA268" s="3"/>
      <c r="AB268" s="3"/>
    </row>
    <row r="269" spans="27:28" ht="13">
      <c r="AA269" s="3"/>
      <c r="AB269" s="3"/>
    </row>
    <row r="270" spans="27:28" ht="13">
      <c r="AA270" s="3"/>
      <c r="AB270" s="3"/>
    </row>
    <row r="271" spans="27:28" ht="13">
      <c r="AA271" s="3"/>
      <c r="AB271" s="3"/>
    </row>
    <row r="272" spans="27:28" ht="13">
      <c r="AA272" s="3"/>
      <c r="AB272" s="3"/>
    </row>
    <row r="273" spans="27:28" ht="13">
      <c r="AA273" s="3"/>
      <c r="AB273" s="3"/>
    </row>
    <row r="274" spans="27:28" ht="13">
      <c r="AA274" s="3"/>
      <c r="AB274" s="3"/>
    </row>
    <row r="275" spans="27:28" ht="13">
      <c r="AA275" s="3"/>
      <c r="AB275" s="3"/>
    </row>
    <row r="276" spans="27:28" ht="13">
      <c r="AA276" s="3"/>
      <c r="AB276" s="3"/>
    </row>
    <row r="277" spans="27:28" ht="13">
      <c r="AA277" s="3"/>
      <c r="AB277" s="3"/>
    </row>
    <row r="278" spans="27:28" ht="13">
      <c r="AA278" s="3"/>
      <c r="AB278" s="3"/>
    </row>
    <row r="279" spans="27:28" ht="13">
      <c r="AA279" s="3"/>
      <c r="AB279" s="3"/>
    </row>
    <row r="280" spans="27:28" ht="13">
      <c r="AA280" s="3"/>
      <c r="AB280" s="3"/>
    </row>
    <row r="281" spans="27:28" ht="13">
      <c r="AA281" s="3"/>
      <c r="AB281" s="3"/>
    </row>
    <row r="282" spans="27:28" ht="13">
      <c r="AA282" s="3"/>
      <c r="AB282" s="3"/>
    </row>
    <row r="283" spans="27:28" ht="13">
      <c r="AA283" s="3"/>
      <c r="AB283" s="3"/>
    </row>
    <row r="284" spans="27:28" ht="13">
      <c r="AA284" s="3"/>
      <c r="AB284" s="3"/>
    </row>
    <row r="285" spans="27:28" ht="13">
      <c r="AA285" s="3"/>
      <c r="AB285" s="3"/>
    </row>
    <row r="286" spans="27:28" ht="13">
      <c r="AA286" s="3"/>
      <c r="AB286" s="3"/>
    </row>
    <row r="287" spans="27:28" ht="13">
      <c r="AA287" s="3"/>
      <c r="AB287" s="3"/>
    </row>
    <row r="288" spans="27:28" ht="13">
      <c r="AA288" s="3"/>
      <c r="AB288" s="3"/>
    </row>
    <row r="289" spans="27:28" ht="13">
      <c r="AA289" s="3"/>
      <c r="AB289" s="3"/>
    </row>
    <row r="290" spans="27:28" ht="13">
      <c r="AA290" s="3"/>
      <c r="AB290" s="3"/>
    </row>
    <row r="291" spans="27:28" ht="13">
      <c r="AA291" s="3"/>
      <c r="AB291" s="3"/>
    </row>
    <row r="292" spans="27:28" ht="13">
      <c r="AA292" s="3"/>
      <c r="AB292" s="3"/>
    </row>
    <row r="293" spans="27:28" ht="13">
      <c r="AA293" s="3"/>
      <c r="AB293" s="3"/>
    </row>
    <row r="294" spans="27:28" ht="13">
      <c r="AA294" s="3"/>
      <c r="AB294" s="3"/>
    </row>
    <row r="295" spans="27:28" ht="13">
      <c r="AA295" s="3"/>
      <c r="AB295" s="3"/>
    </row>
    <row r="296" spans="27:28" ht="13">
      <c r="AA296" s="3"/>
      <c r="AB296" s="3"/>
    </row>
    <row r="297" spans="27:28" ht="13">
      <c r="AA297" s="3"/>
      <c r="AB297" s="3"/>
    </row>
    <row r="298" spans="27:28" ht="13">
      <c r="AA298" s="3"/>
      <c r="AB298" s="3"/>
    </row>
    <row r="299" spans="27:28" ht="13">
      <c r="AA299" s="3"/>
      <c r="AB299" s="3"/>
    </row>
    <row r="300" spans="27:28" ht="13">
      <c r="AA300" s="3"/>
      <c r="AB300" s="3"/>
    </row>
    <row r="301" spans="27:28" ht="13">
      <c r="AA301" s="3"/>
      <c r="AB301" s="3"/>
    </row>
    <row r="302" spans="27:28" ht="13">
      <c r="AA302" s="3"/>
      <c r="AB302" s="3"/>
    </row>
    <row r="303" spans="27:28" ht="13">
      <c r="AA303" s="3"/>
      <c r="AB303" s="3"/>
    </row>
    <row r="304" spans="27:28" ht="13">
      <c r="AA304" s="3"/>
      <c r="AB304" s="3"/>
    </row>
    <row r="305" spans="27:28" ht="13">
      <c r="AA305" s="3"/>
      <c r="AB305" s="3"/>
    </row>
    <row r="306" spans="27:28" ht="13">
      <c r="AA306" s="3"/>
      <c r="AB306" s="3"/>
    </row>
    <row r="307" spans="27:28" ht="13">
      <c r="AA307" s="3"/>
      <c r="AB307" s="3"/>
    </row>
    <row r="308" spans="27:28" ht="13">
      <c r="AA308" s="3"/>
      <c r="AB308" s="3"/>
    </row>
    <row r="309" spans="27:28" ht="13">
      <c r="AA309" s="3"/>
      <c r="AB309" s="3"/>
    </row>
    <row r="310" spans="27:28" ht="13">
      <c r="AA310" s="3"/>
      <c r="AB310" s="3"/>
    </row>
    <row r="311" spans="27:28" ht="13">
      <c r="AA311" s="3"/>
      <c r="AB311" s="3"/>
    </row>
    <row r="312" spans="27:28" ht="13">
      <c r="AA312" s="3"/>
      <c r="AB312" s="3"/>
    </row>
    <row r="313" spans="27:28" ht="13">
      <c r="AA313" s="3"/>
      <c r="AB313" s="3"/>
    </row>
    <row r="314" spans="27:28" ht="13">
      <c r="AA314" s="3"/>
      <c r="AB314" s="3"/>
    </row>
    <row r="315" spans="27:28" ht="13">
      <c r="AA315" s="3"/>
      <c r="AB315" s="3"/>
    </row>
    <row r="316" spans="27:28" ht="13">
      <c r="AA316" s="3"/>
      <c r="AB316" s="3"/>
    </row>
    <row r="317" spans="27:28" ht="13">
      <c r="AA317" s="3"/>
      <c r="AB317" s="3"/>
    </row>
    <row r="318" spans="27:28" ht="13">
      <c r="AA318" s="3"/>
      <c r="AB318" s="3"/>
    </row>
    <row r="319" spans="27:28" ht="13">
      <c r="AA319" s="3"/>
      <c r="AB319" s="3"/>
    </row>
    <row r="320" spans="27:28" ht="13">
      <c r="AA320" s="3"/>
      <c r="AB320" s="3"/>
    </row>
    <row r="321" spans="27:28" ht="13">
      <c r="AA321" s="3"/>
      <c r="AB321" s="3"/>
    </row>
    <row r="322" spans="27:28" ht="13">
      <c r="AA322" s="3"/>
      <c r="AB322" s="3"/>
    </row>
    <row r="323" spans="27:28" ht="13">
      <c r="AA323" s="3"/>
      <c r="AB323" s="3"/>
    </row>
    <row r="324" spans="27:28" ht="13">
      <c r="AA324" s="3"/>
      <c r="AB324" s="3"/>
    </row>
    <row r="325" spans="27:28" ht="13">
      <c r="AA325" s="3"/>
      <c r="AB325" s="3"/>
    </row>
    <row r="326" spans="27:28" ht="13">
      <c r="AA326" s="3"/>
      <c r="AB326" s="3"/>
    </row>
    <row r="327" spans="27:28" ht="13">
      <c r="AA327" s="3"/>
      <c r="AB327" s="3"/>
    </row>
    <row r="328" spans="27:28" ht="13">
      <c r="AA328" s="3"/>
      <c r="AB328" s="3"/>
    </row>
    <row r="329" spans="27:28" ht="13">
      <c r="AA329" s="3"/>
      <c r="AB329" s="3"/>
    </row>
    <row r="330" spans="27:28" ht="13">
      <c r="AA330" s="3"/>
      <c r="AB330" s="3"/>
    </row>
    <row r="331" spans="27:28" ht="13">
      <c r="AA331" s="3"/>
      <c r="AB331" s="3"/>
    </row>
    <row r="332" spans="27:28" ht="13">
      <c r="AA332" s="3"/>
      <c r="AB332" s="3"/>
    </row>
    <row r="333" spans="27:28" ht="13">
      <c r="AA333" s="3"/>
      <c r="AB333" s="3"/>
    </row>
    <row r="334" spans="27:28" ht="13">
      <c r="AA334" s="3"/>
      <c r="AB334" s="3"/>
    </row>
    <row r="335" spans="27:28" ht="13">
      <c r="AA335" s="3"/>
      <c r="AB335" s="3"/>
    </row>
    <row r="336" spans="27:28" ht="13">
      <c r="AA336" s="3"/>
      <c r="AB336" s="3"/>
    </row>
    <row r="337" spans="27:28" ht="13">
      <c r="AA337" s="3"/>
      <c r="AB337" s="3"/>
    </row>
    <row r="338" spans="27:28" ht="13">
      <c r="AA338" s="3"/>
      <c r="AB338" s="3"/>
    </row>
    <row r="339" spans="27:28" ht="13">
      <c r="AA339" s="3"/>
      <c r="AB339" s="3"/>
    </row>
    <row r="340" spans="27:28" ht="13">
      <c r="AA340" s="3"/>
      <c r="AB340" s="3"/>
    </row>
    <row r="341" spans="27:28" ht="13">
      <c r="AA341" s="3"/>
      <c r="AB341" s="3"/>
    </row>
    <row r="342" spans="27:28" ht="13">
      <c r="AA342" s="3"/>
      <c r="AB342" s="3"/>
    </row>
    <row r="343" spans="27:28" ht="13">
      <c r="AA343" s="3"/>
      <c r="AB343" s="3"/>
    </row>
    <row r="344" spans="27:28" ht="13">
      <c r="AA344" s="3"/>
      <c r="AB344" s="3"/>
    </row>
    <row r="345" spans="27:28" ht="13">
      <c r="AA345" s="3"/>
      <c r="AB345" s="3"/>
    </row>
    <row r="346" spans="27:28" ht="13">
      <c r="AA346" s="3"/>
      <c r="AB346" s="3"/>
    </row>
    <row r="347" spans="27:28" ht="13">
      <c r="AA347" s="3"/>
      <c r="AB347" s="3"/>
    </row>
    <row r="348" spans="27:28" ht="13">
      <c r="AA348" s="3"/>
      <c r="AB348" s="3"/>
    </row>
    <row r="349" spans="27:28" ht="13">
      <c r="AA349" s="3"/>
      <c r="AB349" s="3"/>
    </row>
    <row r="350" spans="27:28" ht="13">
      <c r="AA350" s="3"/>
      <c r="AB350" s="3"/>
    </row>
    <row r="351" spans="27:28" ht="13">
      <c r="AA351" s="3"/>
      <c r="AB351" s="3"/>
    </row>
    <row r="352" spans="27:28" ht="13">
      <c r="AA352" s="3"/>
      <c r="AB352" s="3"/>
    </row>
    <row r="353" spans="27:28" ht="13">
      <c r="AA353" s="3"/>
      <c r="AB353" s="3"/>
    </row>
    <row r="354" spans="27:28" ht="13">
      <c r="AA354" s="3"/>
      <c r="AB354" s="3"/>
    </row>
    <row r="355" spans="27:28" ht="13">
      <c r="AA355" s="3"/>
      <c r="AB355" s="3"/>
    </row>
    <row r="356" spans="27:28" ht="13">
      <c r="AA356" s="3"/>
      <c r="AB356" s="3"/>
    </row>
    <row r="357" spans="27:28" ht="13">
      <c r="AA357" s="3"/>
      <c r="AB357" s="3"/>
    </row>
    <row r="358" spans="27:28" ht="13">
      <c r="AA358" s="3"/>
      <c r="AB358" s="3"/>
    </row>
    <row r="359" spans="27:28" ht="13">
      <c r="AA359" s="3"/>
      <c r="AB359" s="3"/>
    </row>
    <row r="360" spans="27:28" ht="13">
      <c r="AA360" s="3"/>
      <c r="AB360" s="3"/>
    </row>
    <row r="361" spans="27:28" ht="13">
      <c r="AA361" s="3"/>
      <c r="AB361" s="3"/>
    </row>
    <row r="362" spans="27:28" ht="13">
      <c r="AA362" s="3"/>
      <c r="AB362" s="3"/>
    </row>
    <row r="363" spans="27:28" ht="13">
      <c r="AA363" s="3"/>
      <c r="AB363" s="3"/>
    </row>
    <row r="364" spans="27:28" ht="13">
      <c r="AA364" s="3"/>
      <c r="AB364" s="3"/>
    </row>
    <row r="365" spans="27:28" ht="13">
      <c r="AA365" s="3"/>
      <c r="AB365" s="3"/>
    </row>
    <row r="366" spans="27:28" ht="13">
      <c r="AA366" s="3"/>
      <c r="AB366" s="3"/>
    </row>
    <row r="367" spans="27:28" ht="13">
      <c r="AA367" s="3"/>
      <c r="AB367" s="3"/>
    </row>
    <row r="368" spans="27:28" ht="13">
      <c r="AA368" s="3"/>
      <c r="AB368" s="3"/>
    </row>
    <row r="369" spans="27:28" ht="13">
      <c r="AA369" s="3"/>
      <c r="AB369" s="3"/>
    </row>
    <row r="370" spans="27:28" ht="13">
      <c r="AA370" s="3"/>
      <c r="AB370" s="3"/>
    </row>
    <row r="371" spans="27:28" ht="13">
      <c r="AA371" s="3"/>
      <c r="AB371" s="3"/>
    </row>
    <row r="372" spans="27:28" ht="13">
      <c r="AA372" s="3"/>
      <c r="AB372" s="3"/>
    </row>
    <row r="373" spans="27:28" ht="13">
      <c r="AA373" s="3"/>
      <c r="AB373" s="3"/>
    </row>
    <row r="374" spans="27:28" ht="13">
      <c r="AA374" s="3"/>
      <c r="AB374" s="3"/>
    </row>
    <row r="375" spans="27:28" ht="13">
      <c r="AA375" s="3"/>
      <c r="AB375" s="3"/>
    </row>
    <row r="376" spans="27:28" ht="13">
      <c r="AA376" s="3"/>
      <c r="AB376" s="3"/>
    </row>
    <row r="377" spans="27:28" ht="13">
      <c r="AA377" s="3"/>
      <c r="AB377" s="3"/>
    </row>
    <row r="378" spans="27:28" ht="13">
      <c r="AA378" s="3"/>
      <c r="AB378" s="3"/>
    </row>
    <row r="379" spans="27:28" ht="13">
      <c r="AA379" s="3"/>
      <c r="AB379" s="3"/>
    </row>
    <row r="380" spans="27:28" ht="13">
      <c r="AA380" s="3"/>
      <c r="AB380" s="3"/>
    </row>
    <row r="381" spans="27:28" ht="13">
      <c r="AA381" s="3"/>
      <c r="AB381" s="3"/>
    </row>
    <row r="382" spans="27:28" ht="13">
      <c r="AA382" s="3"/>
      <c r="AB382" s="3"/>
    </row>
    <row r="383" spans="27:28" ht="13">
      <c r="AA383" s="3"/>
      <c r="AB383" s="3"/>
    </row>
    <row r="384" spans="27:28" ht="13">
      <c r="AA384" s="3"/>
      <c r="AB384" s="3"/>
    </row>
    <row r="385" spans="27:28" ht="13">
      <c r="AA385" s="3"/>
      <c r="AB385" s="3"/>
    </row>
    <row r="386" spans="27:28" ht="13">
      <c r="AA386" s="3"/>
      <c r="AB386" s="3"/>
    </row>
    <row r="387" spans="27:28" ht="13">
      <c r="AA387" s="3"/>
      <c r="AB387" s="3"/>
    </row>
    <row r="388" spans="27:28" ht="13">
      <c r="AA388" s="3"/>
      <c r="AB388" s="3"/>
    </row>
    <row r="389" spans="27:28" ht="13">
      <c r="AA389" s="3"/>
      <c r="AB389" s="3"/>
    </row>
    <row r="390" spans="27:28" ht="13">
      <c r="AA390" s="3"/>
      <c r="AB390" s="3"/>
    </row>
    <row r="391" spans="27:28" ht="13">
      <c r="AA391" s="3"/>
      <c r="AB391" s="3"/>
    </row>
    <row r="392" spans="27:28" ht="13">
      <c r="AA392" s="3"/>
      <c r="AB392" s="3"/>
    </row>
    <row r="393" spans="27:28" ht="13">
      <c r="AA393" s="3"/>
      <c r="AB393" s="3"/>
    </row>
    <row r="394" spans="27:28" ht="13">
      <c r="AA394" s="3"/>
      <c r="AB394" s="3"/>
    </row>
    <row r="395" spans="27:28" ht="13">
      <c r="AA395" s="3"/>
      <c r="AB395" s="3"/>
    </row>
    <row r="396" spans="27:28" ht="13">
      <c r="AA396" s="3"/>
      <c r="AB396" s="3"/>
    </row>
    <row r="397" spans="27:28" ht="13">
      <c r="AA397" s="3"/>
      <c r="AB397" s="3"/>
    </row>
    <row r="398" spans="27:28" ht="13">
      <c r="AA398" s="3"/>
      <c r="AB398" s="3"/>
    </row>
    <row r="399" spans="27:28" ht="13">
      <c r="AA399" s="3"/>
      <c r="AB399" s="3"/>
    </row>
    <row r="400" spans="27:28" ht="13">
      <c r="AA400" s="3"/>
      <c r="AB400" s="3"/>
    </row>
    <row r="401" spans="27:28" ht="13">
      <c r="AA401" s="3"/>
      <c r="AB401" s="3"/>
    </row>
    <row r="402" spans="27:28" ht="13">
      <c r="AA402" s="3"/>
      <c r="AB402" s="3"/>
    </row>
    <row r="403" spans="27:28" ht="13">
      <c r="AA403" s="3"/>
      <c r="AB403" s="3"/>
    </row>
    <row r="404" spans="27:28" ht="13">
      <c r="AA404" s="3"/>
      <c r="AB404" s="3"/>
    </row>
    <row r="405" spans="27:28" ht="13">
      <c r="AA405" s="3"/>
      <c r="AB405" s="3"/>
    </row>
    <row r="406" spans="27:28" ht="13">
      <c r="AA406" s="3"/>
      <c r="AB406" s="3"/>
    </row>
    <row r="407" spans="27:28" ht="13">
      <c r="AA407" s="3"/>
      <c r="AB407" s="3"/>
    </row>
    <row r="408" spans="27:28" ht="13">
      <c r="AA408" s="3"/>
      <c r="AB408" s="3"/>
    </row>
    <row r="409" spans="27:28" ht="13">
      <c r="AA409" s="3"/>
      <c r="AB409" s="3"/>
    </row>
    <row r="410" spans="27:28" ht="13">
      <c r="AA410" s="3"/>
      <c r="AB410" s="3"/>
    </row>
    <row r="411" spans="27:28" ht="13">
      <c r="AA411" s="3"/>
      <c r="AB411" s="3"/>
    </row>
    <row r="412" spans="27:28" ht="13">
      <c r="AA412" s="3"/>
      <c r="AB412" s="3"/>
    </row>
    <row r="413" spans="27:28" ht="13">
      <c r="AA413" s="3"/>
      <c r="AB413" s="3"/>
    </row>
    <row r="414" spans="27:28" ht="13">
      <c r="AA414" s="3"/>
      <c r="AB414" s="3"/>
    </row>
    <row r="415" spans="27:28" ht="13">
      <c r="AA415" s="3"/>
      <c r="AB415" s="3"/>
    </row>
    <row r="416" spans="27:28" ht="13">
      <c r="AA416" s="3"/>
      <c r="AB416" s="3"/>
    </row>
    <row r="417" spans="27:28" ht="13">
      <c r="AA417" s="3"/>
      <c r="AB417" s="3"/>
    </row>
    <row r="418" spans="27:28" ht="13">
      <c r="AA418" s="3"/>
      <c r="AB418" s="3"/>
    </row>
    <row r="419" spans="27:28" ht="13">
      <c r="AA419" s="3"/>
      <c r="AB419" s="3"/>
    </row>
    <row r="420" spans="27:28" ht="13">
      <c r="AA420" s="3"/>
      <c r="AB420" s="3"/>
    </row>
    <row r="421" spans="27:28" ht="13">
      <c r="AA421" s="3"/>
      <c r="AB421" s="3"/>
    </row>
    <row r="422" spans="27:28" ht="13">
      <c r="AA422" s="3"/>
      <c r="AB422" s="3"/>
    </row>
    <row r="423" spans="27:28" ht="13">
      <c r="AA423" s="3"/>
      <c r="AB423" s="3"/>
    </row>
    <row r="424" spans="27:28" ht="13">
      <c r="AA424" s="3"/>
      <c r="AB424" s="3"/>
    </row>
    <row r="425" spans="27:28" ht="13">
      <c r="AA425" s="3"/>
      <c r="AB425" s="3"/>
    </row>
    <row r="426" spans="27:28" ht="13">
      <c r="AA426" s="3"/>
      <c r="AB426" s="3"/>
    </row>
    <row r="427" spans="27:28" ht="13">
      <c r="AA427" s="3"/>
      <c r="AB427" s="3"/>
    </row>
    <row r="428" spans="27:28" ht="13">
      <c r="AA428" s="3"/>
      <c r="AB428" s="3"/>
    </row>
    <row r="429" spans="27:28" ht="13">
      <c r="AA429" s="3"/>
      <c r="AB429" s="3"/>
    </row>
    <row r="430" spans="27:28" ht="13">
      <c r="AA430" s="3"/>
      <c r="AB430" s="3"/>
    </row>
    <row r="431" spans="27:28" ht="13">
      <c r="AA431" s="3"/>
      <c r="AB431" s="3"/>
    </row>
    <row r="432" spans="27:28" ht="13">
      <c r="AA432" s="3"/>
      <c r="AB432" s="3"/>
    </row>
    <row r="433" spans="27:28" ht="13">
      <c r="AA433" s="3"/>
      <c r="AB433" s="3"/>
    </row>
    <row r="434" spans="27:28" ht="13">
      <c r="AA434" s="3"/>
      <c r="AB434" s="3"/>
    </row>
    <row r="435" spans="27:28" ht="13">
      <c r="AA435" s="3"/>
      <c r="AB435" s="3"/>
    </row>
    <row r="436" spans="27:28" ht="13">
      <c r="AA436" s="3"/>
      <c r="AB436" s="3"/>
    </row>
    <row r="437" spans="27:28" ht="13">
      <c r="AA437" s="3"/>
      <c r="AB437" s="3"/>
    </row>
    <row r="438" spans="27:28" ht="13">
      <c r="AA438" s="3"/>
      <c r="AB438" s="3"/>
    </row>
    <row r="439" spans="27:28" ht="13">
      <c r="AA439" s="3"/>
      <c r="AB439" s="3"/>
    </row>
    <row r="440" spans="27:28" ht="13">
      <c r="AA440" s="3"/>
      <c r="AB440" s="3"/>
    </row>
    <row r="441" spans="27:28" ht="13">
      <c r="AA441" s="3"/>
      <c r="AB441" s="3"/>
    </row>
    <row r="442" spans="27:28" ht="13">
      <c r="AA442" s="3"/>
      <c r="AB442" s="3"/>
    </row>
    <row r="443" spans="27:28" ht="13">
      <c r="AA443" s="3"/>
      <c r="AB443" s="3"/>
    </row>
    <row r="444" spans="27:28" ht="13">
      <c r="AA444" s="3"/>
      <c r="AB444" s="3"/>
    </row>
    <row r="445" spans="27:28" ht="13">
      <c r="AA445" s="3"/>
      <c r="AB445" s="3"/>
    </row>
    <row r="446" spans="27:28" ht="13">
      <c r="AA446" s="3"/>
      <c r="AB446" s="3"/>
    </row>
    <row r="447" spans="27:28" ht="13">
      <c r="AA447" s="3"/>
      <c r="AB447" s="3"/>
    </row>
    <row r="448" spans="27:28" ht="13">
      <c r="AA448" s="3"/>
      <c r="AB448" s="3"/>
    </row>
    <row r="449" spans="27:28" ht="13">
      <c r="AA449" s="3"/>
      <c r="AB449" s="3"/>
    </row>
    <row r="450" spans="27:28" ht="13">
      <c r="AA450" s="3"/>
      <c r="AB450" s="3"/>
    </row>
    <row r="451" spans="27:28" ht="13">
      <c r="AA451" s="3"/>
      <c r="AB451" s="3"/>
    </row>
    <row r="452" spans="27:28" ht="13">
      <c r="AA452" s="3"/>
      <c r="AB452" s="3"/>
    </row>
    <row r="453" spans="27:28" ht="13">
      <c r="AA453" s="3"/>
      <c r="AB453" s="3"/>
    </row>
    <row r="454" spans="27:28" ht="13">
      <c r="AA454" s="3"/>
      <c r="AB454" s="3"/>
    </row>
    <row r="455" spans="27:28" ht="13">
      <c r="AA455" s="3"/>
      <c r="AB455" s="3"/>
    </row>
    <row r="456" spans="27:28" ht="13">
      <c r="AA456" s="3"/>
      <c r="AB456" s="3"/>
    </row>
    <row r="457" spans="27:28" ht="13">
      <c r="AA457" s="3"/>
      <c r="AB457" s="3"/>
    </row>
    <row r="458" spans="27:28" ht="13">
      <c r="AA458" s="3"/>
      <c r="AB458" s="3"/>
    </row>
    <row r="459" spans="27:28" ht="13">
      <c r="AA459" s="3"/>
      <c r="AB459" s="3"/>
    </row>
    <row r="460" spans="27:28" ht="13">
      <c r="AA460" s="3"/>
      <c r="AB460" s="3"/>
    </row>
    <row r="461" spans="27:28" ht="13">
      <c r="AA461" s="3"/>
      <c r="AB461" s="3"/>
    </row>
    <row r="462" spans="27:28" ht="13">
      <c r="AA462" s="3"/>
      <c r="AB462" s="3"/>
    </row>
    <row r="463" spans="27:28" ht="13">
      <c r="AA463" s="3"/>
      <c r="AB463" s="3"/>
    </row>
    <row r="464" spans="27:28" ht="13">
      <c r="AA464" s="3"/>
      <c r="AB464" s="3"/>
    </row>
    <row r="465" spans="27:28" ht="13">
      <c r="AA465" s="3"/>
      <c r="AB465" s="3"/>
    </row>
    <row r="466" spans="27:28" ht="13">
      <c r="AA466" s="3"/>
      <c r="AB466" s="3"/>
    </row>
    <row r="467" spans="27:28" ht="13">
      <c r="AA467" s="3"/>
      <c r="AB467" s="3"/>
    </row>
    <row r="468" spans="27:28" ht="13">
      <c r="AA468" s="3"/>
      <c r="AB468" s="3"/>
    </row>
    <row r="469" spans="27:28" ht="13">
      <c r="AA469" s="3"/>
      <c r="AB469" s="3"/>
    </row>
    <row r="470" spans="27:28" ht="13">
      <c r="AA470" s="3"/>
      <c r="AB470" s="3"/>
    </row>
    <row r="471" spans="27:28" ht="13">
      <c r="AA471" s="3"/>
      <c r="AB471" s="3"/>
    </row>
    <row r="472" spans="27:28" ht="13">
      <c r="AA472" s="3"/>
      <c r="AB472" s="3"/>
    </row>
    <row r="473" spans="27:28" ht="13">
      <c r="AA473" s="3"/>
      <c r="AB473" s="3"/>
    </row>
    <row r="474" spans="27:28" ht="13">
      <c r="AA474" s="3"/>
      <c r="AB474" s="3"/>
    </row>
    <row r="475" spans="27:28" ht="13">
      <c r="AA475" s="3"/>
      <c r="AB475" s="3"/>
    </row>
    <row r="476" spans="27:28" ht="13">
      <c r="AA476" s="3"/>
      <c r="AB476" s="3"/>
    </row>
    <row r="477" spans="27:28" ht="13">
      <c r="AA477" s="3"/>
      <c r="AB477" s="3"/>
    </row>
    <row r="478" spans="27:28" ht="13">
      <c r="AA478" s="3"/>
      <c r="AB478" s="3"/>
    </row>
    <row r="479" spans="27:28" ht="13">
      <c r="AA479" s="3"/>
      <c r="AB479" s="3"/>
    </row>
    <row r="480" spans="27:28" ht="13">
      <c r="AA480" s="3"/>
      <c r="AB480" s="3"/>
    </row>
    <row r="481" spans="27:28" ht="13">
      <c r="AA481" s="3"/>
      <c r="AB481" s="3"/>
    </row>
    <row r="482" spans="27:28" ht="13">
      <c r="AA482" s="3"/>
      <c r="AB482" s="3"/>
    </row>
    <row r="483" spans="27:28" ht="13">
      <c r="AA483" s="3"/>
      <c r="AB483" s="3"/>
    </row>
    <row r="484" spans="27:28" ht="13">
      <c r="AA484" s="3"/>
      <c r="AB484" s="3"/>
    </row>
    <row r="485" spans="27:28" ht="13">
      <c r="AA485" s="3"/>
      <c r="AB485" s="3"/>
    </row>
    <row r="486" spans="27:28" ht="13">
      <c r="AA486" s="3"/>
      <c r="AB486" s="3"/>
    </row>
    <row r="487" spans="27:28" ht="13">
      <c r="AA487" s="3"/>
      <c r="AB487" s="3"/>
    </row>
    <row r="488" spans="27:28" ht="13">
      <c r="AA488" s="3"/>
      <c r="AB488" s="3"/>
    </row>
    <row r="489" spans="27:28" ht="13">
      <c r="AA489" s="3"/>
      <c r="AB489" s="3"/>
    </row>
    <row r="490" spans="27:28" ht="13">
      <c r="AA490" s="3"/>
      <c r="AB490" s="3"/>
    </row>
    <row r="491" spans="27:28" ht="13">
      <c r="AA491" s="3"/>
      <c r="AB491" s="3"/>
    </row>
    <row r="492" spans="27:28" ht="13">
      <c r="AA492" s="3"/>
      <c r="AB492" s="3"/>
    </row>
    <row r="493" spans="27:28" ht="13">
      <c r="AA493" s="3"/>
      <c r="AB493" s="3"/>
    </row>
    <row r="494" spans="27:28" ht="13">
      <c r="AA494" s="3"/>
      <c r="AB494" s="3"/>
    </row>
    <row r="495" spans="27:28" ht="13">
      <c r="AA495" s="3"/>
      <c r="AB495" s="3"/>
    </row>
    <row r="496" spans="27:28" ht="13">
      <c r="AA496" s="3"/>
      <c r="AB496" s="3"/>
    </row>
    <row r="497" spans="27:28" ht="13">
      <c r="AA497" s="3"/>
      <c r="AB497" s="3"/>
    </row>
    <row r="498" spans="27:28" ht="13">
      <c r="AA498" s="3"/>
      <c r="AB498" s="3"/>
    </row>
    <row r="499" spans="27:28" ht="13">
      <c r="AA499" s="3"/>
      <c r="AB499" s="3"/>
    </row>
    <row r="500" spans="27:28" ht="13">
      <c r="AA500" s="3"/>
      <c r="AB500" s="3"/>
    </row>
    <row r="501" spans="27:28" ht="13">
      <c r="AA501" s="3"/>
      <c r="AB501" s="3"/>
    </row>
    <row r="502" spans="27:28" ht="13">
      <c r="AA502" s="3"/>
      <c r="AB502" s="3"/>
    </row>
    <row r="503" spans="27:28" ht="13">
      <c r="AA503" s="3"/>
      <c r="AB503" s="3"/>
    </row>
    <row r="504" spans="27:28" ht="13">
      <c r="AA504" s="3"/>
      <c r="AB504" s="3"/>
    </row>
    <row r="505" spans="27:28" ht="13">
      <c r="AA505" s="3"/>
      <c r="AB505" s="3"/>
    </row>
    <row r="506" spans="27:28" ht="13">
      <c r="AA506" s="3"/>
      <c r="AB506" s="3"/>
    </row>
    <row r="507" spans="27:28" ht="13">
      <c r="AA507" s="3"/>
      <c r="AB507" s="3"/>
    </row>
    <row r="508" spans="27:28" ht="13">
      <c r="AA508" s="3"/>
      <c r="AB508" s="3"/>
    </row>
    <row r="509" spans="27:28" ht="13">
      <c r="AA509" s="3"/>
      <c r="AB509" s="3"/>
    </row>
    <row r="510" spans="27:28" ht="13">
      <c r="AA510" s="3"/>
      <c r="AB510" s="3"/>
    </row>
    <row r="511" spans="27:28" ht="13">
      <c r="AA511" s="3"/>
      <c r="AB511" s="3"/>
    </row>
    <row r="512" spans="27:28" ht="13">
      <c r="AA512" s="3"/>
      <c r="AB512" s="3"/>
    </row>
    <row r="513" spans="27:28" ht="13">
      <c r="AA513" s="3"/>
      <c r="AB513" s="3"/>
    </row>
    <row r="514" spans="27:28" ht="13">
      <c r="AA514" s="3"/>
      <c r="AB514" s="3"/>
    </row>
    <row r="515" spans="27:28" ht="13">
      <c r="AA515" s="3"/>
      <c r="AB515" s="3"/>
    </row>
    <row r="516" spans="27:28" ht="13">
      <c r="AA516" s="3"/>
      <c r="AB516" s="3"/>
    </row>
    <row r="517" spans="27:28" ht="13">
      <c r="AA517" s="3"/>
      <c r="AB517" s="3"/>
    </row>
    <row r="518" spans="27:28" ht="13">
      <c r="AA518" s="3"/>
      <c r="AB518" s="3"/>
    </row>
    <row r="519" spans="27:28" ht="13">
      <c r="AA519" s="3"/>
      <c r="AB519" s="3"/>
    </row>
    <row r="520" spans="27:28" ht="13">
      <c r="AA520" s="3"/>
      <c r="AB520" s="3"/>
    </row>
    <row r="521" spans="27:28" ht="13">
      <c r="AA521" s="3"/>
      <c r="AB521" s="3"/>
    </row>
    <row r="522" spans="27:28" ht="13">
      <c r="AA522" s="3"/>
      <c r="AB522" s="3"/>
    </row>
    <row r="523" spans="27:28" ht="13">
      <c r="AA523" s="3"/>
      <c r="AB523" s="3"/>
    </row>
    <row r="524" spans="27:28" ht="13">
      <c r="AA524" s="3"/>
      <c r="AB524" s="3"/>
    </row>
    <row r="525" spans="27:28" ht="13">
      <c r="AA525" s="3"/>
      <c r="AB525" s="3"/>
    </row>
    <row r="526" spans="27:28" ht="13">
      <c r="AA526" s="3"/>
      <c r="AB526" s="3"/>
    </row>
    <row r="527" spans="27:28" ht="13">
      <c r="AA527" s="3"/>
      <c r="AB527" s="3"/>
    </row>
    <row r="528" spans="27:28" ht="13">
      <c r="AA528" s="3"/>
      <c r="AB528" s="3"/>
    </row>
    <row r="529" spans="27:28" ht="13">
      <c r="AA529" s="3"/>
      <c r="AB529" s="3"/>
    </row>
    <row r="530" spans="27:28" ht="13">
      <c r="AA530" s="3"/>
      <c r="AB530" s="3"/>
    </row>
    <row r="531" spans="27:28" ht="13">
      <c r="AA531" s="3"/>
      <c r="AB531" s="3"/>
    </row>
    <row r="532" spans="27:28" ht="13">
      <c r="AA532" s="3"/>
      <c r="AB532" s="3"/>
    </row>
    <row r="533" spans="27:28" ht="13">
      <c r="AA533" s="3"/>
      <c r="AB533" s="3"/>
    </row>
    <row r="534" spans="27:28" ht="13">
      <c r="AA534" s="3"/>
      <c r="AB534" s="3"/>
    </row>
    <row r="535" spans="27:28" ht="13">
      <c r="AA535" s="3"/>
      <c r="AB535" s="3"/>
    </row>
    <row r="536" spans="27:28" ht="13">
      <c r="AA536" s="3"/>
      <c r="AB536" s="3"/>
    </row>
    <row r="537" spans="27:28" ht="13">
      <c r="AA537" s="3"/>
      <c r="AB537" s="3"/>
    </row>
    <row r="538" spans="27:28" ht="13">
      <c r="AA538" s="3"/>
      <c r="AB538" s="3"/>
    </row>
    <row r="539" spans="27:28" ht="13">
      <c r="AA539" s="3"/>
      <c r="AB539" s="3"/>
    </row>
    <row r="540" spans="27:28" ht="13">
      <c r="AA540" s="3"/>
      <c r="AB540" s="3"/>
    </row>
    <row r="541" spans="27:28" ht="13">
      <c r="AA541" s="3"/>
      <c r="AB541" s="3"/>
    </row>
    <row r="542" spans="27:28" ht="13">
      <c r="AA542" s="3"/>
      <c r="AB542" s="3"/>
    </row>
    <row r="543" spans="27:28" ht="13">
      <c r="AA543" s="3"/>
      <c r="AB543" s="3"/>
    </row>
    <row r="544" spans="27:28" ht="13">
      <c r="AA544" s="3"/>
      <c r="AB544" s="3"/>
    </row>
    <row r="545" spans="27:28" ht="13">
      <c r="AA545" s="3"/>
      <c r="AB545" s="3"/>
    </row>
    <row r="546" spans="27:28" ht="13">
      <c r="AA546" s="3"/>
      <c r="AB546" s="3"/>
    </row>
    <row r="547" spans="27:28" ht="13">
      <c r="AA547" s="3"/>
      <c r="AB547" s="3"/>
    </row>
    <row r="548" spans="27:28" ht="13">
      <c r="AA548" s="3"/>
      <c r="AB548" s="3"/>
    </row>
    <row r="549" spans="27:28" ht="13">
      <c r="AA549" s="3"/>
      <c r="AB549" s="3"/>
    </row>
    <row r="550" spans="27:28" ht="13">
      <c r="AA550" s="3"/>
      <c r="AB550" s="3"/>
    </row>
    <row r="551" spans="27:28" ht="13">
      <c r="AA551" s="3"/>
      <c r="AB551" s="3"/>
    </row>
    <row r="552" spans="27:28" ht="13">
      <c r="AA552" s="3"/>
      <c r="AB552" s="3"/>
    </row>
    <row r="553" spans="27:28" ht="13">
      <c r="AA553" s="3"/>
      <c r="AB553" s="3"/>
    </row>
    <row r="554" spans="27:28" ht="13">
      <c r="AA554" s="3"/>
      <c r="AB554" s="3"/>
    </row>
    <row r="555" spans="27:28" ht="13">
      <c r="AA555" s="3"/>
      <c r="AB555" s="3"/>
    </row>
    <row r="556" spans="27:28" ht="13">
      <c r="AA556" s="3"/>
      <c r="AB556" s="3"/>
    </row>
    <row r="557" spans="27:28" ht="13">
      <c r="AA557" s="3"/>
      <c r="AB557" s="3"/>
    </row>
    <row r="558" spans="27:28" ht="13">
      <c r="AA558" s="3"/>
      <c r="AB558" s="3"/>
    </row>
    <row r="559" spans="27:28" ht="13">
      <c r="AA559" s="3"/>
      <c r="AB559" s="3"/>
    </row>
    <row r="560" spans="27:28" ht="13">
      <c r="AA560" s="3"/>
      <c r="AB560" s="3"/>
    </row>
    <row r="561" spans="27:28" ht="13">
      <c r="AA561" s="3"/>
      <c r="AB561" s="3"/>
    </row>
    <row r="562" spans="27:28" ht="13">
      <c r="AA562" s="3"/>
      <c r="AB562" s="3"/>
    </row>
    <row r="563" spans="27:28" ht="13">
      <c r="AA563" s="3"/>
      <c r="AB563" s="3"/>
    </row>
    <row r="564" spans="27:28" ht="13">
      <c r="AA564" s="3"/>
      <c r="AB564" s="3"/>
    </row>
    <row r="565" spans="27:28" ht="13">
      <c r="AA565" s="3"/>
      <c r="AB565" s="3"/>
    </row>
    <row r="566" spans="27:28" ht="13">
      <c r="AA566" s="3"/>
      <c r="AB566" s="3"/>
    </row>
    <row r="567" spans="27:28" ht="13">
      <c r="AA567" s="3"/>
      <c r="AB567" s="3"/>
    </row>
    <row r="568" spans="27:28" ht="13">
      <c r="AA568" s="3"/>
      <c r="AB568" s="3"/>
    </row>
    <row r="569" spans="27:28" ht="13">
      <c r="AA569" s="3"/>
      <c r="AB569" s="3"/>
    </row>
    <row r="570" spans="27:28" ht="13">
      <c r="AA570" s="3"/>
      <c r="AB570" s="3"/>
    </row>
    <row r="571" spans="27:28" ht="13">
      <c r="AA571" s="3"/>
      <c r="AB571" s="3"/>
    </row>
    <row r="572" spans="27:28" ht="13">
      <c r="AA572" s="3"/>
      <c r="AB572" s="3"/>
    </row>
    <row r="573" spans="27:28" ht="13">
      <c r="AA573" s="3"/>
      <c r="AB573" s="3"/>
    </row>
    <row r="574" spans="27:28" ht="13">
      <c r="AA574" s="3"/>
      <c r="AB574" s="3"/>
    </row>
    <row r="575" spans="27:28" ht="13">
      <c r="AA575" s="3"/>
      <c r="AB575" s="3"/>
    </row>
    <row r="576" spans="27:28" ht="13">
      <c r="AA576" s="3"/>
      <c r="AB576" s="3"/>
    </row>
    <row r="577" spans="27:28" ht="13">
      <c r="AA577" s="3"/>
      <c r="AB577" s="3"/>
    </row>
    <row r="578" spans="27:28" ht="13">
      <c r="AA578" s="3"/>
      <c r="AB578" s="3"/>
    </row>
    <row r="579" spans="27:28" ht="13">
      <c r="AA579" s="3"/>
      <c r="AB579" s="3"/>
    </row>
    <row r="580" spans="27:28" ht="13">
      <c r="AA580" s="3"/>
      <c r="AB580" s="3"/>
    </row>
    <row r="581" spans="27:28" ht="13">
      <c r="AA581" s="3"/>
      <c r="AB581" s="3"/>
    </row>
    <row r="582" spans="27:28" ht="13">
      <c r="AA582" s="3"/>
      <c r="AB582" s="3"/>
    </row>
    <row r="583" spans="27:28" ht="13">
      <c r="AA583" s="3"/>
      <c r="AB583" s="3"/>
    </row>
    <row r="584" spans="27:28" ht="13">
      <c r="AA584" s="3"/>
      <c r="AB584" s="3"/>
    </row>
    <row r="585" spans="27:28" ht="13">
      <c r="AA585" s="3"/>
      <c r="AB585" s="3"/>
    </row>
    <row r="586" spans="27:28" ht="13">
      <c r="AA586" s="3"/>
      <c r="AB586" s="3"/>
    </row>
    <row r="587" spans="27:28" ht="13">
      <c r="AA587" s="3"/>
      <c r="AB587" s="3"/>
    </row>
    <row r="588" spans="27:28" ht="13">
      <c r="AA588" s="3"/>
      <c r="AB588" s="3"/>
    </row>
    <row r="589" spans="27:28" ht="13">
      <c r="AA589" s="3"/>
      <c r="AB589" s="3"/>
    </row>
    <row r="590" spans="27:28" ht="13">
      <c r="AA590" s="3"/>
      <c r="AB590" s="3"/>
    </row>
    <row r="591" spans="27:28" ht="13">
      <c r="AA591" s="3"/>
      <c r="AB591" s="3"/>
    </row>
    <row r="592" spans="27:28" ht="13">
      <c r="AA592" s="3"/>
      <c r="AB592" s="3"/>
    </row>
    <row r="593" spans="27:28" ht="13">
      <c r="AA593" s="3"/>
      <c r="AB593" s="3"/>
    </row>
    <row r="594" spans="27:28" ht="13">
      <c r="AA594" s="3"/>
      <c r="AB594" s="3"/>
    </row>
    <row r="595" spans="27:28" ht="13">
      <c r="AA595" s="3"/>
      <c r="AB595" s="3"/>
    </row>
    <row r="596" spans="27:28" ht="13">
      <c r="AA596" s="3"/>
      <c r="AB596" s="3"/>
    </row>
    <row r="597" spans="27:28" ht="13">
      <c r="AA597" s="3"/>
      <c r="AB597" s="3"/>
    </row>
    <row r="598" spans="27:28" ht="13">
      <c r="AA598" s="3"/>
      <c r="AB598" s="3"/>
    </row>
    <row r="599" spans="27:28" ht="13">
      <c r="AA599" s="3"/>
      <c r="AB599" s="3"/>
    </row>
    <row r="600" spans="27:28" ht="13">
      <c r="AA600" s="3"/>
      <c r="AB600" s="3"/>
    </row>
    <row r="601" spans="27:28" ht="13">
      <c r="AA601" s="3"/>
      <c r="AB601" s="3"/>
    </row>
    <row r="602" spans="27:28" ht="13">
      <c r="AA602" s="3"/>
      <c r="AB602" s="3"/>
    </row>
    <row r="603" spans="27:28" ht="13">
      <c r="AA603" s="3"/>
      <c r="AB603" s="3"/>
    </row>
    <row r="604" spans="27:28" ht="13">
      <c r="AA604" s="3"/>
      <c r="AB604" s="3"/>
    </row>
    <row r="605" spans="27:28" ht="13">
      <c r="AA605" s="3"/>
      <c r="AB605" s="3"/>
    </row>
    <row r="606" spans="27:28" ht="13">
      <c r="AA606" s="3"/>
      <c r="AB606" s="3"/>
    </row>
    <row r="607" spans="27:28" ht="13">
      <c r="AA607" s="3"/>
      <c r="AB607" s="3"/>
    </row>
    <row r="608" spans="27:28" ht="13">
      <c r="AA608" s="3"/>
      <c r="AB608" s="3"/>
    </row>
    <row r="609" spans="27:28" ht="13">
      <c r="AA609" s="3"/>
      <c r="AB609" s="3"/>
    </row>
    <row r="610" spans="27:28" ht="13">
      <c r="AA610" s="3"/>
      <c r="AB610" s="3"/>
    </row>
    <row r="611" spans="27:28" ht="13">
      <c r="AA611" s="3"/>
      <c r="AB611" s="3"/>
    </row>
    <row r="612" spans="27:28" ht="13">
      <c r="AA612" s="3"/>
      <c r="AB612" s="3"/>
    </row>
    <row r="613" spans="27:28" ht="13">
      <c r="AA613" s="3"/>
      <c r="AB613" s="3"/>
    </row>
    <row r="614" spans="27:28" ht="13">
      <c r="AA614" s="3"/>
      <c r="AB614" s="3"/>
    </row>
    <row r="615" spans="27:28" ht="13">
      <c r="AA615" s="3"/>
      <c r="AB615" s="3"/>
    </row>
    <row r="616" spans="27:28" ht="13">
      <c r="AA616" s="3"/>
      <c r="AB616" s="3"/>
    </row>
    <row r="617" spans="27:28" ht="13">
      <c r="AA617" s="3"/>
      <c r="AB617" s="3"/>
    </row>
    <row r="618" spans="27:28" ht="13">
      <c r="AA618" s="3"/>
      <c r="AB618" s="3"/>
    </row>
    <row r="619" spans="27:28" ht="13">
      <c r="AA619" s="3"/>
      <c r="AB619" s="3"/>
    </row>
    <row r="620" spans="27:28" ht="13">
      <c r="AA620" s="3"/>
      <c r="AB620" s="3"/>
    </row>
    <row r="621" spans="27:28" ht="13">
      <c r="AA621" s="3"/>
      <c r="AB621" s="3"/>
    </row>
    <row r="622" spans="27:28" ht="13">
      <c r="AA622" s="3"/>
      <c r="AB622" s="3"/>
    </row>
    <row r="623" spans="27:28" ht="13">
      <c r="AA623" s="3"/>
      <c r="AB623" s="3"/>
    </row>
    <row r="624" spans="27:28" ht="13">
      <c r="AA624" s="3"/>
      <c r="AB624" s="3"/>
    </row>
    <row r="625" spans="27:28" ht="13">
      <c r="AA625" s="3"/>
      <c r="AB625" s="3"/>
    </row>
    <row r="626" spans="27:28" ht="13">
      <c r="AA626" s="3"/>
      <c r="AB626" s="3"/>
    </row>
    <row r="627" spans="27:28" ht="13">
      <c r="AA627" s="3"/>
      <c r="AB627" s="3"/>
    </row>
    <row r="628" spans="27:28" ht="13">
      <c r="AA628" s="3"/>
      <c r="AB628" s="3"/>
    </row>
    <row r="629" spans="27:28" ht="13">
      <c r="AA629" s="3"/>
      <c r="AB629" s="3"/>
    </row>
    <row r="630" spans="27:28" ht="13">
      <c r="AA630" s="3"/>
      <c r="AB630" s="3"/>
    </row>
    <row r="631" spans="27:28" ht="13">
      <c r="AA631" s="3"/>
      <c r="AB631" s="3"/>
    </row>
    <row r="632" spans="27:28" ht="13">
      <c r="AA632" s="3"/>
      <c r="AB632" s="3"/>
    </row>
    <row r="633" spans="27:28" ht="13">
      <c r="AA633" s="3"/>
      <c r="AB633" s="3"/>
    </row>
    <row r="634" spans="27:28" ht="13">
      <c r="AA634" s="3"/>
      <c r="AB634" s="3"/>
    </row>
    <row r="635" spans="27:28" ht="13">
      <c r="AA635" s="3"/>
      <c r="AB635" s="3"/>
    </row>
    <row r="636" spans="27:28" ht="13">
      <c r="AA636" s="3"/>
      <c r="AB636" s="3"/>
    </row>
    <row r="637" spans="27:28" ht="13">
      <c r="AA637" s="3"/>
      <c r="AB637" s="3"/>
    </row>
    <row r="638" spans="27:28" ht="13">
      <c r="AA638" s="3"/>
      <c r="AB638" s="3"/>
    </row>
    <row r="639" spans="27:28" ht="13">
      <c r="AA639" s="3"/>
      <c r="AB639" s="3"/>
    </row>
    <row r="640" spans="27:28" ht="13">
      <c r="AA640" s="3"/>
      <c r="AB640" s="3"/>
    </row>
    <row r="641" spans="27:28" ht="13">
      <c r="AA641" s="3"/>
      <c r="AB641" s="3"/>
    </row>
    <row r="642" spans="27:28" ht="13">
      <c r="AA642" s="3"/>
      <c r="AB642" s="3"/>
    </row>
    <row r="643" spans="27:28" ht="13">
      <c r="AA643" s="3"/>
      <c r="AB643" s="3"/>
    </row>
    <row r="644" spans="27:28" ht="13">
      <c r="AA644" s="3"/>
      <c r="AB644" s="3"/>
    </row>
    <row r="645" spans="27:28" ht="13">
      <c r="AA645" s="3"/>
      <c r="AB645" s="3"/>
    </row>
    <row r="646" spans="27:28" ht="13">
      <c r="AA646" s="3"/>
      <c r="AB646" s="3"/>
    </row>
    <row r="647" spans="27:28" ht="13">
      <c r="AA647" s="3"/>
      <c r="AB647" s="3"/>
    </row>
    <row r="648" spans="27:28" ht="13">
      <c r="AA648" s="3"/>
      <c r="AB648" s="3"/>
    </row>
    <row r="649" spans="27:28" ht="13">
      <c r="AA649" s="3"/>
      <c r="AB649" s="3"/>
    </row>
    <row r="650" spans="27:28" ht="13">
      <c r="AA650" s="3"/>
      <c r="AB650" s="3"/>
    </row>
    <row r="651" spans="27:28" ht="13">
      <c r="AA651" s="3"/>
      <c r="AB651" s="3"/>
    </row>
    <row r="652" spans="27:28" ht="13">
      <c r="AA652" s="3"/>
      <c r="AB652" s="3"/>
    </row>
    <row r="653" spans="27:28" ht="13">
      <c r="AA653" s="3"/>
      <c r="AB653" s="3"/>
    </row>
    <row r="654" spans="27:28" ht="13">
      <c r="AA654" s="3"/>
      <c r="AB654" s="3"/>
    </row>
    <row r="655" spans="27:28" ht="13">
      <c r="AA655" s="3"/>
      <c r="AB655" s="3"/>
    </row>
    <row r="656" spans="27:28" ht="13">
      <c r="AA656" s="3"/>
      <c r="AB656" s="3"/>
    </row>
    <row r="657" spans="27:28" ht="13">
      <c r="AA657" s="3"/>
      <c r="AB657" s="3"/>
    </row>
    <row r="658" spans="27:28" ht="13">
      <c r="AA658" s="3"/>
      <c r="AB658" s="3"/>
    </row>
    <row r="659" spans="27:28" ht="13">
      <c r="AA659" s="3"/>
      <c r="AB659" s="3"/>
    </row>
    <row r="660" spans="27:28" ht="13">
      <c r="AA660" s="3"/>
      <c r="AB660" s="3"/>
    </row>
    <row r="661" spans="27:28" ht="13">
      <c r="AA661" s="3"/>
      <c r="AB661" s="3"/>
    </row>
    <row r="662" spans="27:28" ht="13">
      <c r="AA662" s="3"/>
      <c r="AB662" s="3"/>
    </row>
    <row r="663" spans="27:28" ht="13">
      <c r="AA663" s="3"/>
      <c r="AB663" s="3"/>
    </row>
    <row r="664" spans="27:28" ht="13">
      <c r="AA664" s="3"/>
      <c r="AB664" s="3"/>
    </row>
    <row r="665" spans="27:28" ht="13">
      <c r="AA665" s="3"/>
      <c r="AB665" s="3"/>
    </row>
    <row r="666" spans="27:28" ht="13">
      <c r="AA666" s="3"/>
      <c r="AB666" s="3"/>
    </row>
    <row r="667" spans="27:28" ht="13">
      <c r="AA667" s="3"/>
      <c r="AB667" s="3"/>
    </row>
    <row r="668" spans="27:28" ht="13">
      <c r="AA668" s="3"/>
      <c r="AB668" s="3"/>
    </row>
    <row r="669" spans="27:28" ht="13">
      <c r="AA669" s="3"/>
      <c r="AB669" s="3"/>
    </row>
    <row r="670" spans="27:28" ht="13">
      <c r="AA670" s="3"/>
      <c r="AB670" s="3"/>
    </row>
    <row r="671" spans="27:28" ht="13">
      <c r="AA671" s="3"/>
      <c r="AB671" s="3"/>
    </row>
    <row r="672" spans="27:28" ht="13">
      <c r="AA672" s="3"/>
      <c r="AB672" s="3"/>
    </row>
    <row r="673" spans="27:28" ht="13">
      <c r="AA673" s="3"/>
      <c r="AB673" s="3"/>
    </row>
    <row r="674" spans="27:28" ht="13">
      <c r="AA674" s="3"/>
      <c r="AB674" s="3"/>
    </row>
    <row r="675" spans="27:28" ht="13">
      <c r="AA675" s="3"/>
      <c r="AB675" s="3"/>
    </row>
    <row r="676" spans="27:28" ht="13">
      <c r="AA676" s="3"/>
      <c r="AB676" s="3"/>
    </row>
    <row r="677" spans="27:28" ht="13">
      <c r="AA677" s="3"/>
      <c r="AB677" s="3"/>
    </row>
    <row r="678" spans="27:28" ht="13">
      <c r="AA678" s="3"/>
      <c r="AB678" s="3"/>
    </row>
    <row r="679" spans="27:28" ht="13">
      <c r="AA679" s="3"/>
      <c r="AB679" s="3"/>
    </row>
    <row r="680" spans="27:28" ht="13">
      <c r="AA680" s="3"/>
      <c r="AB680" s="3"/>
    </row>
    <row r="681" spans="27:28" ht="13">
      <c r="AA681" s="3"/>
      <c r="AB681" s="3"/>
    </row>
    <row r="682" spans="27:28" ht="13">
      <c r="AA682" s="3"/>
      <c r="AB682" s="3"/>
    </row>
    <row r="683" spans="27:28" ht="13">
      <c r="AA683" s="3"/>
      <c r="AB683" s="3"/>
    </row>
    <row r="684" spans="27:28" ht="13">
      <c r="AA684" s="3"/>
      <c r="AB684" s="3"/>
    </row>
    <row r="685" spans="27:28" ht="13">
      <c r="AA685" s="3"/>
      <c r="AB685" s="3"/>
    </row>
    <row r="686" spans="27:28" ht="13">
      <c r="AA686" s="3"/>
      <c r="AB686" s="3"/>
    </row>
    <row r="687" spans="27:28" ht="13">
      <c r="AA687" s="3"/>
      <c r="AB687" s="3"/>
    </row>
    <row r="688" spans="27:28" ht="13">
      <c r="AA688" s="3"/>
      <c r="AB688" s="3"/>
    </row>
    <row r="689" spans="27:28" ht="13">
      <c r="AA689" s="3"/>
      <c r="AB689" s="3"/>
    </row>
    <row r="690" spans="27:28" ht="13">
      <c r="AA690" s="3"/>
      <c r="AB690" s="3"/>
    </row>
    <row r="691" spans="27:28" ht="13">
      <c r="AA691" s="3"/>
      <c r="AB691" s="3"/>
    </row>
    <row r="692" spans="27:28" ht="13">
      <c r="AA692" s="3"/>
      <c r="AB692" s="3"/>
    </row>
    <row r="693" spans="27:28" ht="13">
      <c r="AA693" s="3"/>
      <c r="AB693" s="3"/>
    </row>
    <row r="694" spans="27:28" ht="13">
      <c r="AA694" s="3"/>
      <c r="AB694" s="3"/>
    </row>
    <row r="695" spans="27:28" ht="13">
      <c r="AA695" s="3"/>
      <c r="AB695" s="3"/>
    </row>
    <row r="696" spans="27:28" ht="13">
      <c r="AA696" s="3"/>
      <c r="AB696" s="3"/>
    </row>
    <row r="697" spans="27:28" ht="13">
      <c r="AA697" s="3"/>
      <c r="AB697" s="3"/>
    </row>
    <row r="698" spans="27:28" ht="13">
      <c r="AA698" s="3"/>
      <c r="AB698" s="3"/>
    </row>
    <row r="699" spans="27:28" ht="13">
      <c r="AA699" s="3"/>
      <c r="AB699" s="3"/>
    </row>
    <row r="700" spans="27:28" ht="13">
      <c r="AA700" s="3"/>
      <c r="AB700" s="3"/>
    </row>
    <row r="701" spans="27:28" ht="13">
      <c r="AA701" s="3"/>
      <c r="AB701" s="3"/>
    </row>
    <row r="702" spans="27:28" ht="13">
      <c r="AA702" s="3"/>
      <c r="AB702" s="3"/>
    </row>
    <row r="703" spans="27:28" ht="13">
      <c r="AA703" s="3"/>
      <c r="AB703" s="3"/>
    </row>
    <row r="704" spans="27:28" ht="13">
      <c r="AA704" s="3"/>
      <c r="AB704" s="3"/>
    </row>
    <row r="705" spans="27:28" ht="13">
      <c r="AA705" s="3"/>
      <c r="AB705" s="3"/>
    </row>
    <row r="706" spans="27:28" ht="13">
      <c r="AA706" s="3"/>
      <c r="AB706" s="3"/>
    </row>
    <row r="707" spans="27:28" ht="13">
      <c r="AA707" s="3"/>
      <c r="AB707" s="3"/>
    </row>
    <row r="708" spans="27:28" ht="13">
      <c r="AA708" s="3"/>
      <c r="AB708" s="3"/>
    </row>
    <row r="709" spans="27:28" ht="13">
      <c r="AA709" s="3"/>
      <c r="AB709" s="3"/>
    </row>
    <row r="710" spans="27:28" ht="13">
      <c r="AA710" s="3"/>
      <c r="AB710" s="3"/>
    </row>
    <row r="711" spans="27:28" ht="13">
      <c r="AA711" s="3"/>
      <c r="AB711" s="3"/>
    </row>
    <row r="712" spans="27:28" ht="13">
      <c r="AA712" s="3"/>
      <c r="AB712" s="3"/>
    </row>
    <row r="713" spans="27:28" ht="13">
      <c r="AA713" s="3"/>
      <c r="AB713" s="3"/>
    </row>
    <row r="714" spans="27:28" ht="13">
      <c r="AA714" s="3"/>
      <c r="AB714" s="3"/>
    </row>
    <row r="715" spans="27:28" ht="13">
      <c r="AA715" s="3"/>
      <c r="AB715" s="3"/>
    </row>
    <row r="716" spans="27:28" ht="13">
      <c r="AA716" s="3"/>
      <c r="AB716" s="3"/>
    </row>
    <row r="717" spans="27:28" ht="13">
      <c r="AA717" s="3"/>
      <c r="AB717" s="3"/>
    </row>
    <row r="718" spans="27:28" ht="13">
      <c r="AA718" s="3"/>
      <c r="AB718" s="3"/>
    </row>
    <row r="719" spans="27:28" ht="13">
      <c r="AA719" s="3"/>
      <c r="AB719" s="3"/>
    </row>
    <row r="720" spans="27:28" ht="13">
      <c r="AA720" s="3"/>
      <c r="AB720" s="3"/>
    </row>
    <row r="721" spans="27:28" ht="13">
      <c r="AA721" s="3"/>
      <c r="AB721" s="3"/>
    </row>
    <row r="722" spans="27:28" ht="13">
      <c r="AA722" s="3"/>
      <c r="AB722" s="3"/>
    </row>
    <row r="723" spans="27:28" ht="13">
      <c r="AA723" s="3"/>
      <c r="AB723" s="3"/>
    </row>
    <row r="724" spans="27:28" ht="13">
      <c r="AA724" s="3"/>
      <c r="AB724" s="3"/>
    </row>
    <row r="725" spans="27:28" ht="13">
      <c r="AA725" s="3"/>
      <c r="AB725" s="3"/>
    </row>
    <row r="726" spans="27:28" ht="13">
      <c r="AA726" s="3"/>
      <c r="AB726" s="3"/>
    </row>
    <row r="727" spans="27:28" ht="13">
      <c r="AA727" s="3"/>
      <c r="AB727" s="3"/>
    </row>
    <row r="728" spans="27:28" ht="13">
      <c r="AA728" s="3"/>
      <c r="AB728" s="3"/>
    </row>
    <row r="729" spans="27:28" ht="13">
      <c r="AA729" s="3"/>
      <c r="AB729" s="3"/>
    </row>
    <row r="730" spans="27:28" ht="13">
      <c r="AA730" s="3"/>
      <c r="AB730" s="3"/>
    </row>
    <row r="731" spans="27:28" ht="13">
      <c r="AA731" s="3"/>
      <c r="AB731" s="3"/>
    </row>
    <row r="732" spans="27:28" ht="13">
      <c r="AA732" s="3"/>
      <c r="AB732" s="3"/>
    </row>
    <row r="733" spans="27:28" ht="13">
      <c r="AA733" s="3"/>
      <c r="AB733" s="3"/>
    </row>
    <row r="734" spans="27:28" ht="13">
      <c r="AA734" s="3"/>
      <c r="AB734" s="3"/>
    </row>
    <row r="735" spans="27:28" ht="13">
      <c r="AA735" s="3"/>
      <c r="AB735" s="3"/>
    </row>
    <row r="736" spans="27:28" ht="13">
      <c r="AA736" s="3"/>
      <c r="AB736" s="3"/>
    </row>
    <row r="737" spans="27:28" ht="13">
      <c r="AA737" s="3"/>
      <c r="AB737" s="3"/>
    </row>
    <row r="738" spans="27:28" ht="13">
      <c r="AA738" s="3"/>
      <c r="AB738" s="3"/>
    </row>
    <row r="739" spans="27:28" ht="13">
      <c r="AA739" s="3"/>
      <c r="AB739" s="3"/>
    </row>
    <row r="740" spans="27:28" ht="13">
      <c r="AA740" s="3"/>
      <c r="AB740" s="3"/>
    </row>
    <row r="741" spans="27:28" ht="13">
      <c r="AA741" s="3"/>
      <c r="AB741" s="3"/>
    </row>
    <row r="742" spans="27:28" ht="13">
      <c r="AA742" s="3"/>
      <c r="AB742" s="3"/>
    </row>
    <row r="743" spans="27:28" ht="13">
      <c r="AA743" s="3"/>
      <c r="AB743" s="3"/>
    </row>
    <row r="744" spans="27:28" ht="13">
      <c r="AA744" s="3"/>
      <c r="AB744" s="3"/>
    </row>
    <row r="745" spans="27:28" ht="13">
      <c r="AA745" s="3"/>
      <c r="AB745" s="3"/>
    </row>
    <row r="746" spans="27:28" ht="13">
      <c r="AA746" s="3"/>
      <c r="AB746" s="3"/>
    </row>
    <row r="747" spans="27:28" ht="13">
      <c r="AA747" s="3"/>
      <c r="AB747" s="3"/>
    </row>
    <row r="748" spans="27:28" ht="13">
      <c r="AA748" s="3"/>
      <c r="AB748" s="3"/>
    </row>
    <row r="749" spans="27:28" ht="13">
      <c r="AA749" s="3"/>
      <c r="AB749" s="3"/>
    </row>
    <row r="750" spans="27:28" ht="13">
      <c r="AA750" s="3"/>
      <c r="AB750" s="3"/>
    </row>
    <row r="751" spans="27:28" ht="13">
      <c r="AA751" s="3"/>
      <c r="AB751" s="3"/>
    </row>
    <row r="752" spans="27:28" ht="13">
      <c r="AA752" s="3"/>
      <c r="AB752" s="3"/>
    </row>
    <row r="753" spans="27:28" ht="13">
      <c r="AA753" s="3"/>
      <c r="AB753" s="3"/>
    </row>
    <row r="754" spans="27:28" ht="13">
      <c r="AA754" s="3"/>
      <c r="AB754" s="3"/>
    </row>
    <row r="755" spans="27:28" ht="13">
      <c r="AA755" s="3"/>
      <c r="AB755" s="3"/>
    </row>
    <row r="756" spans="27:28" ht="13">
      <c r="AA756" s="3"/>
      <c r="AB756" s="3"/>
    </row>
    <row r="757" spans="27:28" ht="13">
      <c r="AA757" s="3"/>
      <c r="AB757" s="3"/>
    </row>
    <row r="758" spans="27:28" ht="13">
      <c r="AA758" s="3"/>
      <c r="AB758" s="3"/>
    </row>
    <row r="759" spans="27:28" ht="13">
      <c r="AA759" s="3"/>
      <c r="AB759" s="3"/>
    </row>
    <row r="760" spans="27:28" ht="13">
      <c r="AA760" s="3"/>
      <c r="AB760" s="3"/>
    </row>
    <row r="761" spans="27:28" ht="13">
      <c r="AA761" s="3"/>
      <c r="AB761" s="3"/>
    </row>
    <row r="762" spans="27:28" ht="13">
      <c r="AA762" s="3"/>
      <c r="AB762" s="3"/>
    </row>
    <row r="763" spans="27:28" ht="13">
      <c r="AA763" s="3"/>
      <c r="AB763" s="3"/>
    </row>
    <row r="764" spans="27:28" ht="13">
      <c r="AA764" s="3"/>
      <c r="AB764" s="3"/>
    </row>
    <row r="765" spans="27:28" ht="13">
      <c r="AA765" s="3"/>
      <c r="AB765" s="3"/>
    </row>
    <row r="766" spans="27:28" ht="13">
      <c r="AA766" s="3"/>
      <c r="AB766" s="3"/>
    </row>
    <row r="767" spans="27:28" ht="13">
      <c r="AA767" s="3"/>
      <c r="AB767" s="3"/>
    </row>
    <row r="768" spans="27:28" ht="13">
      <c r="AA768" s="3"/>
      <c r="AB768" s="3"/>
    </row>
    <row r="769" spans="27:28" ht="13">
      <c r="AA769" s="3"/>
      <c r="AB769" s="3"/>
    </row>
    <row r="770" spans="27:28" ht="13">
      <c r="AA770" s="3"/>
      <c r="AB770" s="3"/>
    </row>
    <row r="771" spans="27:28" ht="13">
      <c r="AA771" s="3"/>
      <c r="AB771" s="3"/>
    </row>
    <row r="772" spans="27:28" ht="13">
      <c r="AA772" s="3"/>
      <c r="AB772" s="3"/>
    </row>
    <row r="773" spans="27:28" ht="13">
      <c r="AA773" s="3"/>
      <c r="AB773" s="3"/>
    </row>
    <row r="774" spans="27:28" ht="13">
      <c r="AA774" s="3"/>
      <c r="AB774" s="3"/>
    </row>
    <row r="775" spans="27:28" ht="13">
      <c r="AA775" s="3"/>
      <c r="AB775" s="3"/>
    </row>
    <row r="776" spans="27:28" ht="13">
      <c r="AA776" s="3"/>
      <c r="AB776" s="3"/>
    </row>
    <row r="777" spans="27:28" ht="13">
      <c r="AA777" s="3"/>
      <c r="AB777" s="3"/>
    </row>
    <row r="778" spans="27:28" ht="13">
      <c r="AA778" s="3"/>
      <c r="AB778" s="3"/>
    </row>
    <row r="779" spans="27:28" ht="13">
      <c r="AA779" s="3"/>
      <c r="AB779" s="3"/>
    </row>
    <row r="780" spans="27:28" ht="13">
      <c r="AA780" s="3"/>
      <c r="AB780" s="3"/>
    </row>
    <row r="781" spans="27:28" ht="13">
      <c r="AA781" s="3"/>
      <c r="AB781" s="3"/>
    </row>
    <row r="782" spans="27:28" ht="13">
      <c r="AA782" s="3"/>
      <c r="AB782" s="3"/>
    </row>
    <row r="783" spans="27:28" ht="13">
      <c r="AA783" s="3"/>
      <c r="AB783" s="3"/>
    </row>
    <row r="784" spans="27:28" ht="13">
      <c r="AA784" s="3"/>
      <c r="AB784" s="3"/>
    </row>
    <row r="785" spans="27:28" ht="13">
      <c r="AA785" s="3"/>
      <c r="AB785" s="3"/>
    </row>
    <row r="786" spans="27:28" ht="13">
      <c r="AA786" s="3"/>
      <c r="AB786" s="3"/>
    </row>
    <row r="787" spans="27:28" ht="13">
      <c r="AA787" s="3"/>
      <c r="AB787" s="3"/>
    </row>
    <row r="788" spans="27:28" ht="13">
      <c r="AA788" s="3"/>
      <c r="AB788" s="3"/>
    </row>
    <row r="789" spans="27:28" ht="13">
      <c r="AA789" s="3"/>
      <c r="AB789" s="3"/>
    </row>
    <row r="790" spans="27:28" ht="13">
      <c r="AA790" s="3"/>
      <c r="AB790" s="3"/>
    </row>
    <row r="791" spans="27:28" ht="13">
      <c r="AA791" s="3"/>
      <c r="AB791" s="3"/>
    </row>
    <row r="792" spans="27:28" ht="13">
      <c r="AA792" s="3"/>
      <c r="AB792" s="3"/>
    </row>
    <row r="793" spans="27:28" ht="13">
      <c r="AA793" s="3"/>
      <c r="AB793" s="3"/>
    </row>
    <row r="794" spans="27:28" ht="13">
      <c r="AA794" s="3"/>
      <c r="AB794" s="3"/>
    </row>
    <row r="795" spans="27:28" ht="13">
      <c r="AA795" s="3"/>
      <c r="AB795" s="3"/>
    </row>
    <row r="796" spans="27:28" ht="13">
      <c r="AA796" s="3"/>
      <c r="AB796" s="3"/>
    </row>
    <row r="797" spans="27:28" ht="13">
      <c r="AA797" s="3"/>
      <c r="AB797" s="3"/>
    </row>
    <row r="798" spans="27:28" ht="13">
      <c r="AA798" s="3"/>
      <c r="AB798" s="3"/>
    </row>
    <row r="799" spans="27:28" ht="13">
      <c r="AA799" s="3"/>
      <c r="AB799" s="3"/>
    </row>
    <row r="800" spans="27:28" ht="13">
      <c r="AA800" s="3"/>
      <c r="AB800" s="3"/>
    </row>
    <row r="801" spans="27:28" ht="13">
      <c r="AA801" s="3"/>
      <c r="AB801" s="3"/>
    </row>
    <row r="802" spans="27:28" ht="13">
      <c r="AA802" s="3"/>
      <c r="AB802" s="3"/>
    </row>
    <row r="803" spans="27:28" ht="13">
      <c r="AA803" s="3"/>
      <c r="AB803" s="3"/>
    </row>
    <row r="804" spans="27:28" ht="13">
      <c r="AA804" s="3"/>
      <c r="AB804" s="3"/>
    </row>
    <row r="805" spans="27:28" ht="13">
      <c r="AA805" s="3"/>
      <c r="AB805" s="3"/>
    </row>
    <row r="806" spans="27:28" ht="13">
      <c r="AA806" s="3"/>
      <c r="AB806" s="3"/>
    </row>
    <row r="807" spans="27:28" ht="13">
      <c r="AA807" s="3"/>
      <c r="AB807" s="3"/>
    </row>
    <row r="808" spans="27:28" ht="13">
      <c r="AA808" s="3"/>
      <c r="AB808" s="3"/>
    </row>
    <row r="809" spans="27:28" ht="13">
      <c r="AA809" s="3"/>
      <c r="AB809" s="3"/>
    </row>
    <row r="810" spans="27:28" ht="13">
      <c r="AA810" s="3"/>
      <c r="AB810" s="3"/>
    </row>
    <row r="811" spans="27:28" ht="13">
      <c r="AA811" s="3"/>
      <c r="AB811" s="3"/>
    </row>
    <row r="812" spans="27:28" ht="13">
      <c r="AA812" s="3"/>
      <c r="AB812" s="3"/>
    </row>
    <row r="813" spans="27:28" ht="13">
      <c r="AA813" s="3"/>
      <c r="AB813" s="3"/>
    </row>
    <row r="814" spans="27:28" ht="13">
      <c r="AA814" s="3"/>
      <c r="AB814" s="3"/>
    </row>
    <row r="815" spans="27:28" ht="13">
      <c r="AA815" s="3"/>
      <c r="AB815" s="3"/>
    </row>
    <row r="816" spans="27:28" ht="13">
      <c r="AA816" s="3"/>
      <c r="AB816" s="3"/>
    </row>
    <row r="817" spans="27:28" ht="13">
      <c r="AA817" s="3"/>
      <c r="AB817" s="3"/>
    </row>
    <row r="818" spans="27:28" ht="13">
      <c r="AA818" s="3"/>
      <c r="AB818" s="3"/>
    </row>
    <row r="819" spans="27:28" ht="13">
      <c r="AA819" s="3"/>
      <c r="AB819" s="3"/>
    </row>
    <row r="820" spans="27:28" ht="13">
      <c r="AA820" s="3"/>
      <c r="AB820" s="3"/>
    </row>
    <row r="821" spans="27:28" ht="13">
      <c r="AA821" s="3"/>
      <c r="AB821" s="3"/>
    </row>
    <row r="822" spans="27:28" ht="13">
      <c r="AA822" s="3"/>
      <c r="AB822" s="3"/>
    </row>
    <row r="823" spans="27:28" ht="13">
      <c r="AA823" s="3"/>
      <c r="AB823" s="3"/>
    </row>
    <row r="824" spans="27:28" ht="13">
      <c r="AA824" s="3"/>
      <c r="AB824" s="3"/>
    </row>
    <row r="825" spans="27:28" ht="13">
      <c r="AA825" s="3"/>
      <c r="AB825" s="3"/>
    </row>
    <row r="826" spans="27:28" ht="13">
      <c r="AA826" s="3"/>
      <c r="AB826" s="3"/>
    </row>
    <row r="827" spans="27:28" ht="13">
      <c r="AA827" s="3"/>
      <c r="AB827" s="3"/>
    </row>
    <row r="828" spans="27:28" ht="13">
      <c r="AA828" s="3"/>
      <c r="AB828" s="3"/>
    </row>
    <row r="829" spans="27:28" ht="13">
      <c r="AA829" s="3"/>
      <c r="AB829" s="3"/>
    </row>
    <row r="830" spans="27:28" ht="13">
      <c r="AA830" s="3"/>
      <c r="AB830" s="3"/>
    </row>
    <row r="831" spans="27:28" ht="13">
      <c r="AA831" s="3"/>
      <c r="AB831" s="3"/>
    </row>
    <row r="832" spans="27:28" ht="13">
      <c r="AA832" s="3"/>
      <c r="AB832" s="3"/>
    </row>
    <row r="833" spans="27:28" ht="13">
      <c r="AA833" s="3"/>
      <c r="AB833" s="3"/>
    </row>
    <row r="834" spans="27:28" ht="13">
      <c r="AA834" s="3"/>
      <c r="AB834" s="3"/>
    </row>
    <row r="835" spans="27:28" ht="13">
      <c r="AA835" s="3"/>
      <c r="AB835" s="3"/>
    </row>
    <row r="836" spans="27:28" ht="13">
      <c r="AA836" s="3"/>
      <c r="AB836" s="3"/>
    </row>
    <row r="837" spans="27:28" ht="13">
      <c r="AA837" s="3"/>
      <c r="AB837" s="3"/>
    </row>
    <row r="838" spans="27:28" ht="13">
      <c r="AA838" s="3"/>
      <c r="AB838" s="3"/>
    </row>
    <row r="839" spans="27:28" ht="13">
      <c r="AA839" s="3"/>
      <c r="AB839" s="3"/>
    </row>
    <row r="840" spans="27:28" ht="13">
      <c r="AA840" s="3"/>
      <c r="AB840" s="3"/>
    </row>
    <row r="841" spans="27:28" ht="13">
      <c r="AA841" s="3"/>
      <c r="AB841" s="3"/>
    </row>
    <row r="842" spans="27:28" ht="13">
      <c r="AA842" s="3"/>
      <c r="AB842" s="3"/>
    </row>
    <row r="843" spans="27:28" ht="13">
      <c r="AA843" s="3"/>
      <c r="AB843" s="3"/>
    </row>
    <row r="844" spans="27:28" ht="13">
      <c r="AA844" s="3"/>
      <c r="AB844" s="3"/>
    </row>
    <row r="845" spans="27:28" ht="13">
      <c r="AA845" s="3"/>
      <c r="AB845" s="3"/>
    </row>
    <row r="846" spans="27:28" ht="13">
      <c r="AA846" s="3"/>
      <c r="AB846" s="3"/>
    </row>
    <row r="847" spans="27:28" ht="13">
      <c r="AA847" s="3"/>
      <c r="AB847" s="3"/>
    </row>
    <row r="848" spans="27:28" ht="13">
      <c r="AA848" s="3"/>
      <c r="AB848" s="3"/>
    </row>
    <row r="849" spans="27:28" ht="13">
      <c r="AA849" s="3"/>
      <c r="AB849" s="3"/>
    </row>
    <row r="850" spans="27:28" ht="13">
      <c r="AA850" s="3"/>
      <c r="AB850" s="3"/>
    </row>
    <row r="851" spans="27:28" ht="13">
      <c r="AA851" s="3"/>
      <c r="AB851" s="3"/>
    </row>
    <row r="852" spans="27:28" ht="13">
      <c r="AA852" s="3"/>
      <c r="AB852" s="3"/>
    </row>
    <row r="853" spans="27:28" ht="13">
      <c r="AA853" s="3"/>
      <c r="AB853" s="3"/>
    </row>
    <row r="854" spans="27:28" ht="13">
      <c r="AA854" s="3"/>
      <c r="AB854" s="3"/>
    </row>
    <row r="855" spans="27:28" ht="13">
      <c r="AA855" s="3"/>
      <c r="AB855" s="3"/>
    </row>
    <row r="856" spans="27:28" ht="13">
      <c r="AA856" s="3"/>
      <c r="AB856" s="3"/>
    </row>
    <row r="857" spans="27:28" ht="13">
      <c r="AA857" s="3"/>
      <c r="AB857" s="3"/>
    </row>
    <row r="858" spans="27:28" ht="13">
      <c r="AA858" s="3"/>
      <c r="AB858" s="3"/>
    </row>
    <row r="859" spans="27:28" ht="13">
      <c r="AA859" s="3"/>
      <c r="AB859" s="3"/>
    </row>
    <row r="860" spans="27:28" ht="13">
      <c r="AA860" s="3"/>
      <c r="AB860" s="3"/>
    </row>
    <row r="861" spans="27:28" ht="13">
      <c r="AA861" s="3"/>
      <c r="AB861" s="3"/>
    </row>
    <row r="862" spans="27:28" ht="13">
      <c r="AA862" s="3"/>
      <c r="AB862" s="3"/>
    </row>
    <row r="863" spans="27:28" ht="13">
      <c r="AA863" s="3"/>
      <c r="AB863" s="3"/>
    </row>
    <row r="864" spans="27:28" ht="13">
      <c r="AA864" s="3"/>
      <c r="AB864" s="3"/>
    </row>
    <row r="865" spans="27:28" ht="13">
      <c r="AA865" s="3"/>
      <c r="AB865" s="3"/>
    </row>
    <row r="866" spans="27:28" ht="13">
      <c r="AA866" s="3"/>
      <c r="AB866" s="3"/>
    </row>
    <row r="867" spans="27:28" ht="13">
      <c r="AA867" s="3"/>
      <c r="AB867" s="3"/>
    </row>
    <row r="868" spans="27:28" ht="13">
      <c r="AA868" s="3"/>
      <c r="AB868" s="3"/>
    </row>
    <row r="869" spans="27:28" ht="13">
      <c r="AA869" s="3"/>
      <c r="AB869" s="3"/>
    </row>
    <row r="870" spans="27:28" ht="13">
      <c r="AA870" s="3"/>
      <c r="AB870" s="3"/>
    </row>
    <row r="871" spans="27:28" ht="13">
      <c r="AA871" s="3"/>
      <c r="AB871" s="3"/>
    </row>
    <row r="872" spans="27:28" ht="13">
      <c r="AA872" s="3"/>
      <c r="AB872" s="3"/>
    </row>
    <row r="873" spans="27:28" ht="13">
      <c r="AA873" s="3"/>
      <c r="AB873" s="3"/>
    </row>
    <row r="874" spans="27:28" ht="13">
      <c r="AA874" s="3"/>
      <c r="AB874" s="3"/>
    </row>
    <row r="875" spans="27:28" ht="13">
      <c r="AA875" s="3"/>
      <c r="AB875" s="3"/>
    </row>
    <row r="876" spans="27:28" ht="13">
      <c r="AA876" s="3"/>
      <c r="AB876" s="3"/>
    </row>
    <row r="877" spans="27:28" ht="13">
      <c r="AA877" s="3"/>
      <c r="AB877" s="3"/>
    </row>
    <row r="878" spans="27:28" ht="13">
      <c r="AA878" s="3"/>
      <c r="AB878" s="3"/>
    </row>
    <row r="879" spans="27:28" ht="13">
      <c r="AA879" s="3"/>
      <c r="AB879" s="3"/>
    </row>
    <row r="880" spans="27:28" ht="13">
      <c r="AA880" s="3"/>
      <c r="AB880" s="3"/>
    </row>
    <row r="881" spans="27:28" ht="13">
      <c r="AA881" s="3"/>
      <c r="AB881" s="3"/>
    </row>
    <row r="882" spans="27:28" ht="13">
      <c r="AA882" s="3"/>
      <c r="AB882" s="3"/>
    </row>
    <row r="883" spans="27:28" ht="13">
      <c r="AA883" s="3"/>
      <c r="AB883" s="3"/>
    </row>
    <row r="884" spans="27:28" ht="13">
      <c r="AA884" s="3"/>
      <c r="AB884" s="3"/>
    </row>
    <row r="885" spans="27:28" ht="13">
      <c r="AA885" s="3"/>
      <c r="AB885" s="3"/>
    </row>
    <row r="886" spans="27:28" ht="13">
      <c r="AA886" s="3"/>
      <c r="AB886" s="3"/>
    </row>
    <row r="887" spans="27:28" ht="13">
      <c r="AA887" s="3"/>
      <c r="AB887" s="3"/>
    </row>
    <row r="888" spans="27:28" ht="13">
      <c r="AA888" s="3"/>
      <c r="AB888" s="3"/>
    </row>
    <row r="889" spans="27:28" ht="13">
      <c r="AA889" s="3"/>
      <c r="AB889" s="3"/>
    </row>
    <row r="890" spans="27:28" ht="13">
      <c r="AA890" s="3"/>
      <c r="AB890" s="3"/>
    </row>
    <row r="891" spans="27:28" ht="13">
      <c r="AA891" s="3"/>
      <c r="AB891" s="3"/>
    </row>
    <row r="892" spans="27:28" ht="13">
      <c r="AA892" s="3"/>
      <c r="AB892" s="3"/>
    </row>
    <row r="893" spans="27:28" ht="13">
      <c r="AA893" s="3"/>
      <c r="AB893" s="3"/>
    </row>
    <row r="894" spans="27:28" ht="13">
      <c r="AA894" s="3"/>
      <c r="AB894" s="3"/>
    </row>
    <row r="895" spans="27:28" ht="13">
      <c r="AA895" s="3"/>
      <c r="AB895" s="3"/>
    </row>
    <row r="896" spans="27:28" ht="13">
      <c r="AA896" s="3"/>
      <c r="AB896" s="3"/>
    </row>
    <row r="897" spans="27:28" ht="13">
      <c r="AA897" s="3"/>
      <c r="AB897" s="3"/>
    </row>
    <row r="898" spans="27:28" ht="13">
      <c r="AA898" s="3"/>
      <c r="AB898" s="3"/>
    </row>
    <row r="899" spans="27:28" ht="13">
      <c r="AA899" s="3"/>
      <c r="AB899" s="3"/>
    </row>
    <row r="900" spans="27:28" ht="13">
      <c r="AA900" s="3"/>
      <c r="AB900" s="3"/>
    </row>
    <row r="901" spans="27:28" ht="13">
      <c r="AA901" s="3"/>
      <c r="AB901" s="3"/>
    </row>
    <row r="902" spans="27:28" ht="13">
      <c r="AA902" s="3"/>
      <c r="AB902" s="3"/>
    </row>
    <row r="903" spans="27:28" ht="13">
      <c r="AA903" s="3"/>
      <c r="AB903" s="3"/>
    </row>
    <row r="904" spans="27:28" ht="13">
      <c r="AA904" s="3"/>
      <c r="AB904" s="3"/>
    </row>
    <row r="905" spans="27:28" ht="13">
      <c r="AA905" s="3"/>
      <c r="AB905" s="3"/>
    </row>
    <row r="906" spans="27:28" ht="13">
      <c r="AA906" s="3"/>
      <c r="AB906" s="3"/>
    </row>
    <row r="907" spans="27:28" ht="13">
      <c r="AA907" s="3"/>
      <c r="AB907" s="3"/>
    </row>
    <row r="908" spans="27:28" ht="13">
      <c r="AA908" s="3"/>
      <c r="AB908" s="3"/>
    </row>
    <row r="909" spans="27:28" ht="13">
      <c r="AA909" s="3"/>
      <c r="AB909" s="3"/>
    </row>
    <row r="910" spans="27:28" ht="13">
      <c r="AA910" s="3"/>
      <c r="AB910" s="3"/>
    </row>
    <row r="911" spans="27:28" ht="13">
      <c r="AA911" s="3"/>
      <c r="AB911" s="3"/>
    </row>
    <row r="912" spans="27:28" ht="13">
      <c r="AA912" s="3"/>
      <c r="AB912" s="3"/>
    </row>
    <row r="913" spans="27:28" ht="13">
      <c r="AA913" s="3"/>
      <c r="AB913" s="3"/>
    </row>
    <row r="914" spans="27:28" ht="13">
      <c r="AA914" s="3"/>
      <c r="AB914" s="3"/>
    </row>
    <row r="915" spans="27:28" ht="13">
      <c r="AA915" s="3"/>
      <c r="AB915" s="3"/>
    </row>
    <row r="916" spans="27:28" ht="13">
      <c r="AA916" s="3"/>
      <c r="AB916" s="3"/>
    </row>
    <row r="917" spans="27:28" ht="13">
      <c r="AA917" s="3"/>
      <c r="AB917" s="3"/>
    </row>
    <row r="918" spans="27:28" ht="13">
      <c r="AA918" s="3"/>
      <c r="AB918" s="3"/>
    </row>
    <row r="919" spans="27:28" ht="13">
      <c r="AA919" s="3"/>
      <c r="AB919" s="3"/>
    </row>
    <row r="920" spans="27:28" ht="13">
      <c r="AA920" s="3"/>
      <c r="AB920" s="3"/>
    </row>
    <row r="921" spans="27:28" ht="13">
      <c r="AA921" s="3"/>
      <c r="AB921" s="3"/>
    </row>
    <row r="922" spans="27:28" ht="13">
      <c r="AA922" s="3"/>
      <c r="AB922" s="3"/>
    </row>
    <row r="923" spans="27:28" ht="13">
      <c r="AA923" s="3"/>
      <c r="AB923" s="3"/>
    </row>
    <row r="924" spans="27:28" ht="13">
      <c r="AA924" s="3"/>
      <c r="AB924" s="3"/>
    </row>
    <row r="925" spans="27:28" ht="13">
      <c r="AA925" s="3"/>
      <c r="AB925" s="3"/>
    </row>
    <row r="926" spans="27:28" ht="13">
      <c r="AA926" s="3"/>
      <c r="AB926" s="3"/>
    </row>
    <row r="927" spans="27:28" ht="13">
      <c r="AA927" s="3"/>
      <c r="AB927" s="3"/>
    </row>
    <row r="928" spans="27:28" ht="13">
      <c r="AA928" s="3"/>
      <c r="AB928" s="3"/>
    </row>
    <row r="929" spans="27:28" ht="13">
      <c r="AA929" s="3"/>
      <c r="AB929" s="3"/>
    </row>
    <row r="930" spans="27:28" ht="13">
      <c r="AA930" s="3"/>
      <c r="AB930" s="3"/>
    </row>
    <row r="931" spans="27:28" ht="13">
      <c r="AA931" s="3"/>
      <c r="AB931" s="3"/>
    </row>
    <row r="932" spans="27:28" ht="13">
      <c r="AA932" s="3"/>
      <c r="AB932" s="3"/>
    </row>
    <row r="933" spans="27:28" ht="13">
      <c r="AA933" s="3"/>
      <c r="AB933" s="3"/>
    </row>
    <row r="934" spans="27:28" ht="13">
      <c r="AA934" s="3"/>
      <c r="AB934" s="3"/>
    </row>
    <row r="935" spans="27:28" ht="13">
      <c r="AA935" s="3"/>
      <c r="AB935" s="3"/>
    </row>
    <row r="936" spans="27:28" ht="13">
      <c r="AA936" s="3"/>
      <c r="AB936" s="3"/>
    </row>
    <row r="937" spans="27:28" ht="13">
      <c r="AA937" s="3"/>
      <c r="AB937" s="3"/>
    </row>
    <row r="938" spans="27:28" ht="13">
      <c r="AA938" s="3"/>
      <c r="AB938" s="3"/>
    </row>
    <row r="939" spans="27:28" ht="13">
      <c r="AA939" s="3"/>
      <c r="AB939" s="3"/>
    </row>
    <row r="940" spans="27:28" ht="13">
      <c r="AA940" s="3"/>
      <c r="AB940" s="3"/>
    </row>
    <row r="941" spans="27:28" ht="13">
      <c r="AA941" s="3"/>
      <c r="AB941" s="3"/>
    </row>
    <row r="942" spans="27:28" ht="13">
      <c r="AA942" s="3"/>
      <c r="AB942" s="3"/>
    </row>
    <row r="943" spans="27:28" ht="13">
      <c r="AA943" s="3"/>
      <c r="AB943" s="3"/>
    </row>
    <row r="944" spans="27:28" ht="13">
      <c r="AA944" s="3"/>
      <c r="AB944" s="3"/>
    </row>
    <row r="945" spans="27:28" ht="13">
      <c r="AA945" s="3"/>
      <c r="AB945" s="3"/>
    </row>
    <row r="946" spans="27:28" ht="13">
      <c r="AA946" s="3"/>
      <c r="AB946" s="3"/>
    </row>
    <row r="947" spans="27:28" ht="13">
      <c r="AA947" s="3"/>
      <c r="AB947" s="3"/>
    </row>
    <row r="948" spans="27:28" ht="13">
      <c r="AA948" s="3"/>
      <c r="AB948" s="3"/>
    </row>
    <row r="949" spans="27:28" ht="13">
      <c r="AA949" s="3"/>
      <c r="AB949" s="3"/>
    </row>
    <row r="950" spans="27:28" ht="13">
      <c r="AA950" s="3"/>
      <c r="AB950" s="3"/>
    </row>
    <row r="951" spans="27:28" ht="13">
      <c r="AA951" s="3"/>
      <c r="AB951" s="3"/>
    </row>
    <row r="952" spans="27:28" ht="13">
      <c r="AA952" s="3"/>
      <c r="AB952" s="3"/>
    </row>
    <row r="953" spans="27:28" ht="13">
      <c r="AA953" s="3"/>
      <c r="AB953" s="3"/>
    </row>
    <row r="954" spans="27:28" ht="13">
      <c r="AA954" s="3"/>
      <c r="AB954" s="3"/>
    </row>
    <row r="955" spans="27:28" ht="13">
      <c r="AA955" s="3"/>
      <c r="AB955" s="3"/>
    </row>
    <row r="956" spans="27:28" ht="13">
      <c r="AA956" s="3"/>
      <c r="AB956" s="3"/>
    </row>
    <row r="957" spans="27:28" ht="13">
      <c r="AA957" s="3"/>
      <c r="AB957" s="3"/>
    </row>
    <row r="958" spans="27:28" ht="13">
      <c r="AA958" s="3"/>
      <c r="AB958" s="3"/>
    </row>
    <row r="959" spans="27:28" ht="13">
      <c r="AA959" s="3"/>
      <c r="AB959" s="3"/>
    </row>
    <row r="960" spans="27:28" ht="13">
      <c r="AA960" s="3"/>
      <c r="AB960" s="3"/>
    </row>
    <row r="961" spans="27:28" ht="13">
      <c r="AA961" s="3"/>
      <c r="AB961" s="3"/>
    </row>
    <row r="962" spans="27:28" ht="13">
      <c r="AA962" s="3"/>
      <c r="AB962" s="3"/>
    </row>
    <row r="963" spans="27:28" ht="13">
      <c r="AA963" s="3"/>
      <c r="AB963" s="3"/>
    </row>
    <row r="964" spans="27:28" ht="13">
      <c r="AA964" s="3"/>
      <c r="AB964" s="3"/>
    </row>
    <row r="965" spans="27:28" ht="13">
      <c r="AA965" s="3"/>
      <c r="AB965" s="3"/>
    </row>
    <row r="966" spans="27:28" ht="13">
      <c r="AA966" s="3"/>
      <c r="AB966" s="3"/>
    </row>
    <row r="967" spans="27:28" ht="13">
      <c r="AA967" s="3"/>
      <c r="AB967" s="3"/>
    </row>
    <row r="968" spans="27:28" ht="13">
      <c r="AA968" s="3"/>
      <c r="AB968" s="3"/>
    </row>
    <row r="969" spans="27:28" ht="13">
      <c r="AA969" s="3"/>
      <c r="AB969" s="3"/>
    </row>
    <row r="970" spans="27:28" ht="13">
      <c r="AA970" s="3"/>
      <c r="AB970" s="3"/>
    </row>
    <row r="971" spans="27:28" ht="13">
      <c r="AA971" s="3"/>
      <c r="AB971" s="3"/>
    </row>
    <row r="972" spans="27:28" ht="13">
      <c r="AA972" s="3"/>
      <c r="AB972" s="3"/>
    </row>
    <row r="973" spans="27:28" ht="13">
      <c r="AA973" s="3"/>
      <c r="AB973" s="3"/>
    </row>
    <row r="974" spans="27:28" ht="13">
      <c r="AA974" s="3"/>
      <c r="AB974" s="3"/>
    </row>
    <row r="975" spans="27:28" ht="13">
      <c r="AA975" s="3"/>
      <c r="AB975" s="3"/>
    </row>
    <row r="976" spans="27:28" ht="13">
      <c r="AA976" s="3"/>
      <c r="AB976" s="3"/>
    </row>
    <row r="977" spans="27:28" ht="13">
      <c r="AA977" s="3"/>
      <c r="AB977" s="3"/>
    </row>
    <row r="978" spans="27:28" ht="13">
      <c r="AA978" s="3"/>
      <c r="AB978" s="3"/>
    </row>
    <row r="979" spans="27:28" ht="13">
      <c r="AA979" s="3"/>
      <c r="AB979" s="3"/>
    </row>
    <row r="980" spans="27:28" ht="13">
      <c r="AA980" s="3"/>
      <c r="AB980" s="3"/>
    </row>
    <row r="981" spans="27:28" ht="13">
      <c r="AA981" s="3"/>
      <c r="AB981" s="3"/>
    </row>
    <row r="982" spans="27:28" ht="13">
      <c r="AA982" s="3"/>
      <c r="AB982" s="3"/>
    </row>
    <row r="983" spans="27:28" ht="13">
      <c r="AA983" s="3"/>
      <c r="AB983" s="3"/>
    </row>
    <row r="984" spans="27:28" ht="13">
      <c r="AA984" s="3"/>
      <c r="AB984" s="3"/>
    </row>
    <row r="985" spans="27:28" ht="13">
      <c r="AA985" s="3"/>
      <c r="AB985" s="3"/>
    </row>
    <row r="986" spans="27:28" ht="13">
      <c r="AA986" s="3"/>
      <c r="AB986" s="3"/>
    </row>
    <row r="987" spans="27:28" ht="13">
      <c r="AA987" s="3"/>
      <c r="AB987" s="3"/>
    </row>
    <row r="988" spans="27:28" ht="13">
      <c r="AA988" s="3"/>
      <c r="AB988" s="3"/>
    </row>
    <row r="989" spans="27:28" ht="13">
      <c r="AA989" s="3"/>
      <c r="AB989" s="3"/>
    </row>
    <row r="990" spans="27:28" ht="13">
      <c r="AA990" s="3"/>
      <c r="AB990" s="3"/>
    </row>
    <row r="991" spans="27:28" ht="13">
      <c r="AA991" s="3"/>
      <c r="AB991" s="3"/>
    </row>
    <row r="992" spans="27:28" ht="13">
      <c r="AA992" s="3"/>
      <c r="AB992" s="3"/>
    </row>
    <row r="993" spans="27:28" ht="13">
      <c r="AA993" s="3"/>
      <c r="AB993" s="3"/>
    </row>
    <row r="994" spans="27:28" ht="13">
      <c r="AA994" s="3"/>
      <c r="AB994" s="3"/>
    </row>
    <row r="995" spans="27:28" ht="13">
      <c r="AA995" s="3"/>
      <c r="AB995" s="3"/>
    </row>
    <row r="996" spans="27:28" ht="13">
      <c r="AA996" s="3"/>
      <c r="AB996" s="3"/>
    </row>
    <row r="997" spans="27:28" ht="13">
      <c r="AA997" s="3"/>
      <c r="AB997" s="3"/>
    </row>
    <row r="998" spans="27:28" ht="13">
      <c r="AA998" s="3"/>
      <c r="AB998" s="3"/>
    </row>
    <row r="999" spans="27:28" ht="13">
      <c r="AA999" s="3"/>
      <c r="AB999" s="3"/>
    </row>
    <row r="1000" spans="27:28" ht="13">
      <c r="AA1000" s="3"/>
      <c r="AB1000" s="3"/>
    </row>
    <row r="1001" spans="27:28" ht="13">
      <c r="AA1001" s="3"/>
      <c r="AB1001" s="3"/>
    </row>
  </sheetData>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590EB-5015-7643-913A-542FB88FA068}">
  <sheetPr>
    <outlinePr summaryBelow="0" summaryRight="0"/>
  </sheetPr>
  <dimension ref="A1:AF1019"/>
  <sheetViews>
    <sheetView zoomScale="140" zoomScaleNormal="140" workbookViewId="0">
      <pane ySplit="1" topLeftCell="A2" activePane="bottomLeft" state="frozen"/>
      <selection pane="bottomLeft" activeCell="E6" sqref="A3:E6"/>
    </sheetView>
  </sheetViews>
  <sheetFormatPr baseColWidth="10" defaultColWidth="12.6640625" defaultRowHeight="15.75" customHeight="1"/>
  <cols>
    <col min="1" max="1" width="4.33203125" customWidth="1"/>
    <col min="2" max="12" width="3.1640625" customWidth="1"/>
    <col min="13" max="13" width="4" customWidth="1"/>
    <col min="14" max="14" width="4.6640625" customWidth="1"/>
    <col min="15" max="15" width="4.1640625" customWidth="1"/>
    <col min="16" max="16" width="2.1640625" customWidth="1"/>
    <col min="17" max="17" width="3.1640625" customWidth="1"/>
    <col min="18" max="18" width="4.33203125" customWidth="1"/>
    <col min="19" max="19" width="1.5" customWidth="1"/>
    <col min="20" max="20" width="3.1640625" customWidth="1"/>
    <col min="21" max="21" width="4.1640625" customWidth="1"/>
    <col min="22" max="22" width="1.6640625" customWidth="1"/>
    <col min="23" max="23" width="3.1640625" customWidth="1"/>
    <col min="24" max="24" width="4.1640625" customWidth="1"/>
    <col min="25" max="28" width="3.1640625" customWidth="1"/>
    <col min="29" max="29" width="3.5" customWidth="1"/>
    <col min="30" max="31" width="4.1640625" customWidth="1"/>
    <col min="32" max="32" width="5.33203125" customWidth="1"/>
  </cols>
  <sheetData>
    <row r="1" spans="1:32" ht="21" customHeight="1">
      <c r="A1" s="42" t="s">
        <v>34</v>
      </c>
      <c r="B1" s="41"/>
      <c r="C1" s="41"/>
      <c r="D1" s="41"/>
      <c r="E1" s="41"/>
      <c r="F1" s="41"/>
      <c r="G1" s="41"/>
      <c r="H1" s="41"/>
      <c r="I1" s="41"/>
      <c r="J1" s="41"/>
      <c r="K1" s="41"/>
      <c r="L1" s="41"/>
      <c r="M1" s="41"/>
      <c r="N1" s="41"/>
      <c r="O1" s="41"/>
      <c r="P1" s="41"/>
      <c r="Q1" s="41"/>
      <c r="R1" s="41"/>
      <c r="S1" s="41"/>
      <c r="T1" s="41"/>
      <c r="U1" s="41"/>
      <c r="V1" s="41"/>
      <c r="W1" s="41"/>
      <c r="X1" s="41"/>
      <c r="Y1" s="41"/>
      <c r="Z1" s="41"/>
      <c r="AA1" s="41"/>
      <c r="AB1" s="41"/>
      <c r="AC1" s="41"/>
      <c r="AD1" s="41"/>
      <c r="AE1" s="41"/>
      <c r="AF1" s="41"/>
    </row>
    <row r="2" spans="1:32" ht="21" customHeight="1">
      <c r="A2" s="42"/>
      <c r="B2" s="41"/>
      <c r="C2" s="41"/>
      <c r="D2" s="41"/>
      <c r="E2" s="41"/>
      <c r="F2" s="41"/>
      <c r="G2" s="41"/>
      <c r="H2" s="41"/>
      <c r="I2" s="41"/>
      <c r="J2" s="41"/>
      <c r="K2" s="41"/>
      <c r="L2" s="41"/>
      <c r="M2" s="41"/>
      <c r="N2" s="41"/>
      <c r="O2" s="41"/>
      <c r="P2" s="41"/>
      <c r="Q2" s="41"/>
      <c r="R2" s="41"/>
      <c r="S2" s="41"/>
      <c r="T2" s="41"/>
      <c r="U2" s="41"/>
      <c r="V2" s="41"/>
      <c r="W2" s="41"/>
      <c r="X2" s="41"/>
      <c r="Y2" s="41"/>
      <c r="Z2" s="41"/>
      <c r="AA2" s="41"/>
      <c r="AB2" s="41"/>
      <c r="AC2" s="41"/>
      <c r="AD2" s="41"/>
      <c r="AE2" s="41"/>
      <c r="AF2" s="41"/>
    </row>
    <row r="3" spans="1:32" ht="13">
      <c r="A3" s="68" t="s">
        <v>43</v>
      </c>
      <c r="B3" s="70"/>
      <c r="C3" s="2"/>
      <c r="D3" s="2"/>
      <c r="E3" s="3">
        <v>4</v>
      </c>
      <c r="J3" s="1" t="s">
        <v>0</v>
      </c>
      <c r="M3" s="2" t="s">
        <v>1</v>
      </c>
      <c r="N3" s="3">
        <v>1</v>
      </c>
      <c r="O3" s="3"/>
      <c r="P3" s="3"/>
      <c r="Q3" s="3">
        <v>2</v>
      </c>
      <c r="R3" s="3"/>
      <c r="S3" s="3"/>
      <c r="T3" s="3">
        <v>3</v>
      </c>
      <c r="U3" s="3"/>
      <c r="V3" s="3"/>
      <c r="W3" s="3">
        <v>4</v>
      </c>
      <c r="AD3" s="3"/>
    </row>
    <row r="4" spans="1:32" ht="13">
      <c r="A4" s="68" t="s">
        <v>44</v>
      </c>
      <c r="B4" s="2"/>
      <c r="C4" s="2"/>
      <c r="D4" s="2"/>
      <c r="E4" s="3">
        <v>3</v>
      </c>
      <c r="AD4" s="3"/>
    </row>
    <row r="5" spans="1:32" ht="13">
      <c r="A5" s="68" t="s">
        <v>45</v>
      </c>
      <c r="D5" s="3"/>
      <c r="E5" s="36">
        <v>6</v>
      </c>
      <c r="J5" s="1" t="s">
        <v>2</v>
      </c>
      <c r="K5" s="3"/>
      <c r="L5" s="3"/>
      <c r="M5" s="3"/>
      <c r="N5" s="3" t="s">
        <v>3</v>
      </c>
      <c r="P5" s="3"/>
      <c r="Q5" s="3" t="s">
        <v>4</v>
      </c>
      <c r="S5" s="3"/>
      <c r="T5" s="3" t="s">
        <v>5</v>
      </c>
      <c r="V5" s="3"/>
      <c r="W5" s="3" t="s">
        <v>6</v>
      </c>
      <c r="Y5" s="3"/>
      <c r="Z5" s="3"/>
      <c r="AB5" s="3"/>
      <c r="AD5" s="3"/>
      <c r="AE5" s="3"/>
    </row>
    <row r="6" spans="1:32" ht="13">
      <c r="A6" s="68" t="s">
        <v>42</v>
      </c>
      <c r="C6" s="3"/>
      <c r="D6" s="3"/>
      <c r="E6" s="3">
        <v>4</v>
      </c>
      <c r="J6" s="3"/>
      <c r="K6" s="3"/>
      <c r="L6" s="3"/>
      <c r="M6" s="3"/>
      <c r="N6" s="3"/>
      <c r="O6" s="4">
        <v>2</v>
      </c>
      <c r="R6" s="4">
        <v>1</v>
      </c>
      <c r="S6" s="3"/>
      <c r="T6" s="3"/>
      <c r="U6" s="4">
        <v>1</v>
      </c>
      <c r="X6" s="4">
        <v>1</v>
      </c>
      <c r="AA6" s="3"/>
      <c r="AB6" s="3"/>
      <c r="AC6" s="3"/>
      <c r="AD6" s="3"/>
      <c r="AE6" s="3"/>
      <c r="AF6" s="3"/>
    </row>
    <row r="7" spans="1:32" ht="13">
      <c r="C7" s="3"/>
      <c r="D7" s="3"/>
      <c r="E7" s="3"/>
      <c r="J7" s="3"/>
      <c r="K7" s="3"/>
      <c r="L7" s="3"/>
      <c r="M7" s="3"/>
      <c r="N7" s="3"/>
      <c r="O7" s="4">
        <v>-1</v>
      </c>
      <c r="R7" s="4">
        <v>0</v>
      </c>
      <c r="S7" s="3"/>
      <c r="T7" s="3"/>
      <c r="U7" s="4">
        <v>1</v>
      </c>
      <c r="X7" s="4">
        <v>2</v>
      </c>
      <c r="AA7" s="3"/>
      <c r="AB7" s="3"/>
      <c r="AC7" s="3"/>
      <c r="AD7" s="3"/>
      <c r="AE7" s="3"/>
      <c r="AF7" s="3"/>
    </row>
    <row r="8" spans="1:32" ht="13">
      <c r="C8" s="3"/>
      <c r="D8" s="3"/>
      <c r="E8" s="3"/>
      <c r="J8" s="3"/>
      <c r="K8" s="3"/>
      <c r="L8" s="3"/>
      <c r="M8" s="3"/>
      <c r="N8" s="3"/>
      <c r="O8" s="4">
        <v>0</v>
      </c>
      <c r="R8" s="4">
        <v>1</v>
      </c>
      <c r="S8" s="3"/>
      <c r="T8" s="3"/>
      <c r="U8" s="4">
        <v>0</v>
      </c>
      <c r="X8" s="4">
        <v>-1</v>
      </c>
      <c r="AA8" s="3"/>
      <c r="AB8" s="3"/>
      <c r="AC8" s="3"/>
      <c r="AD8" s="3"/>
      <c r="AE8" s="3"/>
      <c r="AF8" s="3"/>
    </row>
    <row r="9" spans="1:32" ht="13">
      <c r="C9" s="3"/>
      <c r="D9" s="3"/>
      <c r="E9" s="3"/>
      <c r="J9" s="3"/>
      <c r="K9" s="3"/>
      <c r="L9" s="3"/>
      <c r="M9" s="3"/>
      <c r="N9" s="3"/>
      <c r="O9" s="39">
        <v>1</v>
      </c>
      <c r="R9" s="39">
        <v>0</v>
      </c>
      <c r="S9" s="3"/>
      <c r="T9" s="3"/>
      <c r="U9" s="39">
        <v>0</v>
      </c>
      <c r="X9" s="39">
        <v>2</v>
      </c>
      <c r="AA9" s="3"/>
      <c r="AB9" s="3"/>
      <c r="AC9" s="3"/>
      <c r="AD9" s="3"/>
      <c r="AE9" s="3"/>
      <c r="AF9" s="3"/>
    </row>
    <row r="10" spans="1:32" ht="13">
      <c r="A10" s="5"/>
      <c r="B10" s="5"/>
      <c r="D10" s="3"/>
      <c r="J10" s="5" t="s">
        <v>7</v>
      </c>
      <c r="K10" s="3"/>
      <c r="L10" s="3"/>
      <c r="M10" s="3"/>
      <c r="N10" s="3" t="s">
        <v>8</v>
      </c>
      <c r="O10" s="40">
        <v>0</v>
      </c>
      <c r="Q10" s="3" t="s">
        <v>9</v>
      </c>
      <c r="R10" s="40">
        <f>O27</f>
        <v>0.99932929973906692</v>
      </c>
      <c r="S10" s="3"/>
      <c r="T10" s="3" t="s">
        <v>10</v>
      </c>
      <c r="U10" s="40">
        <f>R27</f>
        <v>0.99927735073811652</v>
      </c>
      <c r="V10" s="3"/>
      <c r="W10" s="3" t="s">
        <v>11</v>
      </c>
      <c r="X10" s="40">
        <f>U27</f>
        <v>0.99999551035277756</v>
      </c>
      <c r="Y10" s="3"/>
      <c r="AA10" s="3"/>
      <c r="AB10" s="3"/>
      <c r="AC10" s="3"/>
      <c r="AD10" s="3"/>
      <c r="AE10" s="3"/>
      <c r="AF10" s="3"/>
    </row>
    <row r="11" spans="1:32" ht="13">
      <c r="A11" s="5"/>
      <c r="B11" s="5"/>
      <c r="D11" s="3"/>
      <c r="J11" s="5"/>
      <c r="K11" s="3"/>
      <c r="L11" s="3"/>
      <c r="M11" s="3"/>
      <c r="N11" s="3"/>
      <c r="O11" s="40">
        <v>0</v>
      </c>
      <c r="Q11" s="3"/>
      <c r="R11" s="40">
        <f t="shared" ref="R11:R13" si="0">O28</f>
        <v>-0.76159415595576485</v>
      </c>
      <c r="S11" s="3"/>
      <c r="T11" s="3"/>
      <c r="U11" s="40">
        <f t="shared" ref="U11:U13" si="1">R28</f>
        <v>0.74606799844559946</v>
      </c>
      <c r="V11" s="3"/>
      <c r="W11" s="3"/>
      <c r="X11" s="40">
        <f t="shared" ref="X11:X13" si="2">U28</f>
        <v>0.9517120109620244</v>
      </c>
      <c r="Y11" s="3"/>
      <c r="AA11" s="3"/>
      <c r="AB11" s="3"/>
      <c r="AC11" s="3"/>
      <c r="AD11" s="3"/>
      <c r="AE11" s="3"/>
      <c r="AF11" s="3"/>
    </row>
    <row r="12" spans="1:32" ht="13">
      <c r="A12" s="5"/>
      <c r="B12" s="5"/>
      <c r="D12" s="3"/>
      <c r="J12" s="5"/>
      <c r="K12" s="3"/>
      <c r="L12" s="3"/>
      <c r="M12" s="3"/>
      <c r="N12" s="3"/>
      <c r="O12" s="40">
        <v>0</v>
      </c>
      <c r="Q12" s="3"/>
      <c r="R12" s="40">
        <f t="shared" si="0"/>
        <v>0.76159415595576485</v>
      </c>
      <c r="S12" s="3"/>
      <c r="T12" s="3"/>
      <c r="U12" s="40">
        <f t="shared" si="1"/>
        <v>0.99883923596754132</v>
      </c>
      <c r="V12" s="3"/>
      <c r="W12" s="3"/>
      <c r="X12" s="40">
        <f t="shared" si="2"/>
        <v>0.99979525136561187</v>
      </c>
      <c r="Y12" s="3"/>
      <c r="AA12" s="3"/>
      <c r="AB12" s="3"/>
      <c r="AC12" s="3"/>
      <c r="AD12" s="3"/>
      <c r="AE12" s="3"/>
      <c r="AF12" s="3"/>
    </row>
    <row r="13" spans="1:32" ht="13">
      <c r="A13" s="5"/>
      <c r="B13" s="5"/>
      <c r="D13" s="3"/>
      <c r="J13" s="5"/>
      <c r="K13" s="3"/>
      <c r="L13" s="3"/>
      <c r="M13" s="3"/>
      <c r="N13" s="3"/>
      <c r="O13" s="40">
        <v>0</v>
      </c>
      <c r="Q13" s="3"/>
      <c r="R13" s="40">
        <f t="shared" si="0"/>
        <v>0.99932929973906692</v>
      </c>
      <c r="S13" s="3"/>
      <c r="T13" s="3"/>
      <c r="U13" s="40">
        <f t="shared" si="1"/>
        <v>0.997943762047795</v>
      </c>
      <c r="V13" s="3"/>
      <c r="W13" s="3"/>
      <c r="X13" s="40">
        <f t="shared" si="2"/>
        <v>0.99995378482425179</v>
      </c>
      <c r="Y13" s="3"/>
      <c r="AA13" s="3"/>
      <c r="AB13" s="3"/>
      <c r="AC13" s="3"/>
      <c r="AD13" s="3"/>
      <c r="AE13" s="3"/>
      <c r="AF13" s="3"/>
    </row>
    <row r="14" spans="1:32" ht="13">
      <c r="A14" s="5"/>
      <c r="B14" s="5"/>
      <c r="D14" s="3"/>
      <c r="E14" s="3"/>
      <c r="F14" s="3"/>
      <c r="G14" s="3"/>
      <c r="H14" s="3"/>
      <c r="I14" s="3"/>
      <c r="J14" s="3"/>
      <c r="K14" s="3"/>
      <c r="L14" s="3"/>
      <c r="M14" s="3"/>
      <c r="N14" s="3"/>
      <c r="O14" s="40">
        <v>0</v>
      </c>
      <c r="P14" s="6"/>
      <c r="Q14" s="7"/>
      <c r="R14" s="40">
        <f>O31</f>
        <v>-0.76159415595576485</v>
      </c>
      <c r="S14" s="6"/>
      <c r="T14" s="7"/>
      <c r="U14" s="40">
        <f>R31</f>
        <v>0.83439534587696074</v>
      </c>
      <c r="V14" s="6"/>
      <c r="W14" s="7"/>
      <c r="X14" s="40">
        <f>U31</f>
        <v>0.64253135804329464</v>
      </c>
      <c r="Y14" s="3"/>
      <c r="AA14" s="3"/>
      <c r="AB14" s="3"/>
      <c r="AC14" s="3"/>
      <c r="AD14" s="3"/>
      <c r="AE14" s="3"/>
      <c r="AF14" s="3"/>
    </row>
    <row r="15" spans="1:32" ht="13">
      <c r="A15" s="5"/>
      <c r="B15" s="5"/>
      <c r="D15" s="3"/>
      <c r="E15" s="3"/>
      <c r="F15" s="3"/>
      <c r="G15" s="3"/>
      <c r="H15" s="3"/>
      <c r="I15" s="3"/>
      <c r="J15" s="3"/>
      <c r="K15" s="3"/>
      <c r="L15" s="3"/>
      <c r="M15" s="3"/>
      <c r="N15" s="3"/>
      <c r="O15" s="40">
        <v>0</v>
      </c>
      <c r="P15" s="6"/>
      <c r="Q15" s="6"/>
      <c r="R15" s="40">
        <f>O32</f>
        <v>0.96402758007581701</v>
      </c>
      <c r="S15" s="6"/>
      <c r="T15" s="3"/>
      <c r="U15" s="40">
        <f>R32</f>
        <v>0.76131233514305174</v>
      </c>
      <c r="V15" s="6"/>
      <c r="W15" s="3"/>
      <c r="X15" s="40">
        <f>U32</f>
        <v>0.95007123368964608</v>
      </c>
      <c r="Y15" s="3"/>
      <c r="AA15" s="3"/>
      <c r="AB15" s="3"/>
      <c r="AC15" s="3"/>
      <c r="AD15" s="3"/>
      <c r="AE15" s="3"/>
      <c r="AF15" s="3"/>
    </row>
    <row r="16" spans="1:32" ht="13">
      <c r="A16" s="5"/>
      <c r="B16" s="5"/>
      <c r="D16" s="3"/>
      <c r="E16" s="3"/>
      <c r="F16" s="3"/>
      <c r="G16" s="3"/>
      <c r="H16" s="3"/>
      <c r="I16" s="3"/>
      <c r="J16" s="3"/>
      <c r="K16" s="3"/>
      <c r="L16" s="3"/>
      <c r="M16" s="3"/>
      <c r="N16" s="3"/>
      <c r="O16" s="3">
        <v>1</v>
      </c>
      <c r="P16" s="6"/>
      <c r="Q16" s="6"/>
      <c r="R16" s="3">
        <v>1</v>
      </c>
      <c r="S16" s="6"/>
      <c r="T16" s="3"/>
      <c r="U16" s="3">
        <v>1</v>
      </c>
      <c r="V16" s="6"/>
      <c r="W16" s="3"/>
      <c r="X16" s="3">
        <v>1</v>
      </c>
      <c r="Y16" s="3"/>
      <c r="AA16" s="3"/>
      <c r="AB16" s="3"/>
      <c r="AC16" s="3"/>
      <c r="AD16" s="3"/>
      <c r="AE16" s="3"/>
      <c r="AF16" s="3"/>
    </row>
    <row r="17" spans="1:32" ht="13">
      <c r="B17" s="3"/>
      <c r="C17" s="3"/>
      <c r="D17" s="3"/>
      <c r="F17" s="3"/>
      <c r="G17" s="3"/>
      <c r="H17" s="3"/>
      <c r="I17" s="3"/>
      <c r="J17" s="3"/>
      <c r="K17" s="3"/>
      <c r="L17" s="3"/>
      <c r="O17" s="3" t="s">
        <v>12</v>
      </c>
      <c r="P17" s="6"/>
      <c r="Q17" s="8"/>
      <c r="R17" s="3" t="s">
        <v>12</v>
      </c>
      <c r="S17" s="6"/>
      <c r="U17" s="3" t="s">
        <v>12</v>
      </c>
      <c r="V17" s="6"/>
      <c r="X17" s="3" t="s">
        <v>12</v>
      </c>
      <c r="Y17" s="3"/>
      <c r="AA17" s="3"/>
      <c r="AB17" s="3"/>
      <c r="AC17" s="3"/>
      <c r="AD17" s="3"/>
      <c r="AE17" s="3"/>
      <c r="AF17" s="3"/>
    </row>
    <row r="18" spans="1:32" ht="13">
      <c r="B18" s="9" t="s">
        <v>13</v>
      </c>
      <c r="C18" s="3"/>
      <c r="D18" s="3"/>
      <c r="E18" s="2"/>
      <c r="F18" s="9" t="s">
        <v>14</v>
      </c>
      <c r="G18" s="9"/>
      <c r="H18" s="9"/>
      <c r="I18" s="9"/>
      <c r="J18" s="3"/>
      <c r="K18" s="3"/>
      <c r="L18" s="9" t="s">
        <v>15</v>
      </c>
      <c r="M18" s="2"/>
      <c r="N18" s="10" t="s">
        <v>35</v>
      </c>
      <c r="P18" s="6"/>
      <c r="Q18" s="8"/>
      <c r="S18" s="6"/>
      <c r="V18" s="6"/>
      <c r="Y18" s="3"/>
      <c r="AA18" s="3"/>
      <c r="AB18" s="3"/>
      <c r="AC18" s="3"/>
      <c r="AD18" s="3"/>
      <c r="AE18" s="3"/>
      <c r="AF18" s="3"/>
    </row>
    <row r="19" spans="1:32" ht="13">
      <c r="B19" s="55">
        <v>1</v>
      </c>
      <c r="C19" s="56">
        <v>0</v>
      </c>
      <c r="D19" s="56">
        <v>-1</v>
      </c>
      <c r="E19" s="56">
        <v>1</v>
      </c>
      <c r="F19" s="57">
        <v>1</v>
      </c>
      <c r="G19" s="57">
        <v>1</v>
      </c>
      <c r="H19" s="57">
        <v>1</v>
      </c>
      <c r="I19" s="57">
        <v>1</v>
      </c>
      <c r="J19" s="57">
        <v>0</v>
      </c>
      <c r="K19" s="57">
        <v>1</v>
      </c>
      <c r="L19" s="58">
        <v>1</v>
      </c>
      <c r="M19" s="3" t="s">
        <v>16</v>
      </c>
      <c r="N19" s="2" t="s">
        <v>36</v>
      </c>
      <c r="O19" s="45" cm="1">
        <f t="array" ref="O19">MMULT($B19:$L19,O$6:O$16)</f>
        <v>4</v>
      </c>
      <c r="P19" s="6"/>
      <c r="Q19" s="3" t="s">
        <v>37</v>
      </c>
      <c r="R19" s="45" cm="1">
        <f t="array" ref="R19">MMULT($B19:$L19,R$6:R$16)</f>
        <v>3.962686179553951</v>
      </c>
      <c r="S19" s="6"/>
      <c r="T19" s="3" t="s">
        <v>38</v>
      </c>
      <c r="U19" s="45" cm="1">
        <f t="array" ref="U19">MMULT($B19:$L19,U$6:U$16)</f>
        <v>6.503440682342104</v>
      </c>
      <c r="V19" s="6"/>
      <c r="W19" s="3" t="s">
        <v>39</v>
      </c>
      <c r="X19" s="45" cm="1">
        <f t="array" ref="X19">MMULT($B19:$L19,X$6:X$16)</f>
        <v>9.9015277911943116</v>
      </c>
      <c r="Y19" s="3"/>
      <c r="AA19" s="3"/>
      <c r="AC19" s="3"/>
      <c r="AD19" s="3"/>
      <c r="AE19" s="3"/>
    </row>
    <row r="20" spans="1:32" ht="13">
      <c r="B20" s="59">
        <v>0</v>
      </c>
      <c r="C20" s="43">
        <v>1</v>
      </c>
      <c r="D20" s="43">
        <v>0</v>
      </c>
      <c r="E20" s="43">
        <v>0</v>
      </c>
      <c r="F20" s="16">
        <v>0</v>
      </c>
      <c r="G20" s="16">
        <v>-1</v>
      </c>
      <c r="H20" s="16">
        <v>0</v>
      </c>
      <c r="I20" s="16">
        <v>0</v>
      </c>
      <c r="J20" s="16">
        <v>1</v>
      </c>
      <c r="K20" s="16">
        <v>1</v>
      </c>
      <c r="L20" s="60">
        <v>0</v>
      </c>
      <c r="M20" s="3" t="s">
        <v>16</v>
      </c>
      <c r="N20" s="2"/>
      <c r="O20" s="45" cm="1">
        <f t="array" ref="O20">MMULT($B20:$L20,O$6:O$16)</f>
        <v>-1</v>
      </c>
      <c r="P20" s="6"/>
      <c r="Q20" s="3"/>
      <c r="R20" s="45" cm="1">
        <f t="array" ref="R20">MMULT($B20:$L20,R$6:R$16)</f>
        <v>0.96402758007581701</v>
      </c>
      <c r="S20" s="6"/>
      <c r="T20" s="3"/>
      <c r="U20" s="45" cm="1">
        <f t="array" ref="U20">MMULT($B20:$L20,U$6:U$16)</f>
        <v>1.849639682574413</v>
      </c>
      <c r="V20" s="6"/>
      <c r="W20" s="3"/>
      <c r="X20" s="45" cm="1">
        <f t="array" ref="X20">MMULT($B20:$L20,X$6:X$16)</f>
        <v>2.6408905807709164</v>
      </c>
      <c r="Y20" s="3"/>
      <c r="AA20" s="3"/>
      <c r="AC20" s="3"/>
      <c r="AD20" s="3"/>
      <c r="AE20" s="3"/>
    </row>
    <row r="21" spans="1:32" ht="13">
      <c r="B21" s="59">
        <v>0</v>
      </c>
      <c r="C21" s="43">
        <v>0</v>
      </c>
      <c r="D21" s="43">
        <v>1</v>
      </c>
      <c r="E21" s="43">
        <v>0</v>
      </c>
      <c r="F21" s="16">
        <v>0</v>
      </c>
      <c r="G21" s="16">
        <v>0</v>
      </c>
      <c r="H21" s="16">
        <v>2</v>
      </c>
      <c r="I21" s="16">
        <v>0</v>
      </c>
      <c r="J21" s="16">
        <v>1</v>
      </c>
      <c r="K21" s="16">
        <v>1</v>
      </c>
      <c r="L21" s="60">
        <v>1</v>
      </c>
      <c r="M21" s="3" t="s">
        <v>16</v>
      </c>
      <c r="N21" s="2"/>
      <c r="O21" s="45" cm="1">
        <f t="array" ref="O21">MMULT($B21:$L21,O$6:O$16)</f>
        <v>1</v>
      </c>
      <c r="P21" s="6"/>
      <c r="Q21" s="3"/>
      <c r="R21" s="45" cm="1">
        <f t="array" ref="R21">MMULT($B21:$L21,R$6:R$16)</f>
        <v>3.7256217360315818</v>
      </c>
      <c r="S21" s="6"/>
      <c r="T21" s="3"/>
      <c r="U21" s="45" cm="1">
        <f t="array" ref="U21">MMULT($B21:$L21,U$6:U$16)</f>
        <v>4.5933861529550946</v>
      </c>
      <c r="V21" s="6"/>
      <c r="W21" s="3"/>
      <c r="X21" s="45" cm="1">
        <f t="array" ref="X21">MMULT($B21:$L21,X$6:X$16)</f>
        <v>3.5921930944641645</v>
      </c>
      <c r="Y21" s="3"/>
      <c r="AA21" s="3"/>
      <c r="AC21" s="3"/>
      <c r="AD21" s="3"/>
      <c r="AE21" s="3"/>
    </row>
    <row r="22" spans="1:32" ht="13">
      <c r="B22" s="59">
        <v>1</v>
      </c>
      <c r="C22" s="43">
        <v>-1</v>
      </c>
      <c r="D22" s="43">
        <v>0</v>
      </c>
      <c r="E22" s="43">
        <v>0</v>
      </c>
      <c r="F22" s="16">
        <v>0</v>
      </c>
      <c r="G22" s="16">
        <v>1</v>
      </c>
      <c r="H22" s="16">
        <v>0</v>
      </c>
      <c r="I22" s="16">
        <v>2</v>
      </c>
      <c r="J22" s="16">
        <v>1</v>
      </c>
      <c r="K22" s="16">
        <v>1</v>
      </c>
      <c r="L22" s="60">
        <v>1</v>
      </c>
      <c r="M22" s="3" t="s">
        <v>16</v>
      </c>
      <c r="N22" s="2"/>
      <c r="O22" s="45" cm="1">
        <f t="array" ref="O22">MMULT($B22:$L22,O$6:O$16)</f>
        <v>4</v>
      </c>
      <c r="P22" s="6"/>
      <c r="Q22" s="3"/>
      <c r="R22" s="45" cm="1">
        <f t="array" ref="R22">MMULT($B22:$L22,R$6:R$16)</f>
        <v>3.4394978676424213</v>
      </c>
      <c r="S22" s="6"/>
      <c r="T22" s="3"/>
      <c r="U22" s="45" cm="1">
        <f t="array" ref="U22">MMULT($B22:$L22,U$6:U$16)</f>
        <v>5.3376632035612017</v>
      </c>
      <c r="V22" s="6"/>
      <c r="W22" s="3"/>
      <c r="X22" s="45" cm="1">
        <f t="array" ref="X22">MMULT($B22:$L22,X$6:X$16)</f>
        <v>4.5442221723434688</v>
      </c>
      <c r="Y22" s="3"/>
      <c r="AA22" s="3"/>
      <c r="AC22" s="3"/>
      <c r="AD22" s="3"/>
      <c r="AE22" s="3"/>
    </row>
    <row r="23" spans="1:32" ht="13">
      <c r="B23" s="61">
        <v>0</v>
      </c>
      <c r="C23" s="4">
        <v>1</v>
      </c>
      <c r="D23" s="4">
        <v>1</v>
      </c>
      <c r="E23" s="4">
        <v>0</v>
      </c>
      <c r="F23" s="16">
        <v>0</v>
      </c>
      <c r="G23" s="16">
        <v>0</v>
      </c>
      <c r="H23" s="16">
        <v>-1</v>
      </c>
      <c r="I23" s="16">
        <v>0</v>
      </c>
      <c r="J23" s="16">
        <v>0</v>
      </c>
      <c r="K23" s="16">
        <v>1</v>
      </c>
      <c r="L23" s="62">
        <v>0</v>
      </c>
      <c r="M23" s="3" t="s">
        <v>16</v>
      </c>
      <c r="O23" s="45" cm="1">
        <f t="array" ref="O23">MMULT($B23:$L23,O$6:O$16)</f>
        <v>-1</v>
      </c>
      <c r="P23" s="6"/>
      <c r="Q23" s="6"/>
      <c r="R23" s="45" cm="1">
        <f t="array" ref="R23">MMULT($B23:$L23,R$6:R$16)</f>
        <v>1.2024334241200521</v>
      </c>
      <c r="S23" s="6"/>
      <c r="T23" s="3"/>
      <c r="U23" s="45" cm="1">
        <f t="array" ref="U23">MMULT($B23:$L23,U$6:U$16)</f>
        <v>0.76247309917551043</v>
      </c>
      <c r="V23" s="6"/>
      <c r="W23" s="3"/>
      <c r="X23" s="45" cm="1">
        <f t="array" ref="X23">MMULT($B23:$L23,X$6:X$16)</f>
        <v>0.95027598232403421</v>
      </c>
      <c r="Y23" s="3"/>
      <c r="Z23" s="3"/>
      <c r="AA23" s="3"/>
      <c r="AB23" s="3"/>
      <c r="AC23" s="3"/>
      <c r="AD23" s="3"/>
      <c r="AE23" s="3"/>
      <c r="AF23" s="3"/>
    </row>
    <row r="24" spans="1:32" ht="13">
      <c r="B24" s="63">
        <v>1</v>
      </c>
      <c r="C24" s="64">
        <v>-1</v>
      </c>
      <c r="D24" s="64">
        <v>0</v>
      </c>
      <c r="E24" s="64">
        <v>0</v>
      </c>
      <c r="F24" s="65">
        <v>1</v>
      </c>
      <c r="G24" s="65">
        <v>0</v>
      </c>
      <c r="H24" s="65">
        <v>1</v>
      </c>
      <c r="I24" s="65">
        <v>0</v>
      </c>
      <c r="J24" s="65">
        <v>1</v>
      </c>
      <c r="K24" s="65">
        <v>0</v>
      </c>
      <c r="L24" s="66">
        <v>-1</v>
      </c>
      <c r="M24" s="3" t="s">
        <v>16</v>
      </c>
      <c r="O24" s="45" cm="1">
        <f t="array" ref="O24">MMULT($B24:$L24,O$6:O$16)</f>
        <v>2</v>
      </c>
      <c r="P24" s="6"/>
      <c r="Q24" s="6"/>
      <c r="R24" s="45" cm="1">
        <f t="array" ref="R24">MMULT($B24:$L24,R$6:R$16)</f>
        <v>0.99932929973906681</v>
      </c>
      <c r="S24" s="6"/>
      <c r="T24" s="3"/>
      <c r="U24" s="45" cm="1">
        <f t="array" ref="U24">MMULT($B24:$L24,U$6:U$16)</f>
        <v>1.8325119325826185</v>
      </c>
      <c r="V24" s="6"/>
      <c r="W24" s="3"/>
      <c r="X24" s="45" cm="1">
        <f t="array" ref="X24">MMULT($B24:$L24,X$6:X$16)</f>
        <v>0.64232211976168418</v>
      </c>
      <c r="Y24" s="3"/>
      <c r="Z24" s="3"/>
      <c r="AA24" s="3"/>
      <c r="AB24" s="3"/>
      <c r="AC24" s="3"/>
      <c r="AD24" s="3"/>
      <c r="AE24" s="3"/>
      <c r="AF24" s="10"/>
    </row>
    <row r="25" spans="1:32" ht="25.5" customHeight="1">
      <c r="C25" s="3"/>
      <c r="D25" s="3"/>
      <c r="E25" s="3"/>
      <c r="F25" s="3"/>
      <c r="G25" s="3"/>
      <c r="H25" s="3"/>
      <c r="I25" s="3"/>
      <c r="J25" s="3"/>
      <c r="K25" s="3"/>
      <c r="L25" s="3"/>
      <c r="M25" s="3"/>
      <c r="N25" s="22" t="s">
        <v>17</v>
      </c>
      <c r="O25" s="23" t="s">
        <v>18</v>
      </c>
      <c r="P25" s="24"/>
      <c r="Q25" s="25"/>
      <c r="R25" s="23" t="s">
        <v>18</v>
      </c>
      <c r="S25" s="24"/>
      <c r="T25" s="26"/>
      <c r="U25" s="23" t="s">
        <v>18</v>
      </c>
      <c r="V25" s="24"/>
      <c r="W25" s="26"/>
      <c r="X25" s="23" t="s">
        <v>18</v>
      </c>
      <c r="Y25" s="3"/>
      <c r="AA25" s="3"/>
      <c r="AB25" s="3"/>
      <c r="AC25" s="3"/>
      <c r="AD25" s="3"/>
      <c r="AE25" s="3"/>
    </row>
    <row r="26" spans="1:32" ht="13">
      <c r="D26" s="3"/>
      <c r="E26" s="3"/>
      <c r="F26" s="27"/>
      <c r="G26" s="27"/>
      <c r="H26" s="27"/>
      <c r="I26" s="27"/>
      <c r="N26" s="28" t="s">
        <v>19</v>
      </c>
      <c r="O26" s="29"/>
      <c r="P26" s="6"/>
      <c r="Q26" s="3"/>
      <c r="R26" s="29"/>
      <c r="S26" s="6"/>
      <c r="T26" s="2"/>
      <c r="U26" s="29"/>
      <c r="V26" s="6"/>
      <c r="W26" s="3"/>
      <c r="X26" s="29"/>
      <c r="Y26" s="3"/>
      <c r="AA26" s="3"/>
      <c r="AC26" s="3"/>
      <c r="AD26" s="3"/>
      <c r="AE26" s="3"/>
      <c r="AF26" s="28"/>
    </row>
    <row r="27" spans="1:32" ht="13">
      <c r="D27" s="3"/>
      <c r="E27" s="3"/>
      <c r="F27" s="27"/>
      <c r="G27" s="27"/>
      <c r="H27" s="27"/>
      <c r="I27" s="27"/>
      <c r="N27" s="3" t="s">
        <v>9</v>
      </c>
      <c r="O27" s="38">
        <f t="shared" ref="O27:O32" si="3">TANH(O19)</f>
        <v>0.99932929973906692</v>
      </c>
      <c r="P27" s="6"/>
      <c r="Q27" s="3" t="s">
        <v>10</v>
      </c>
      <c r="R27" s="38">
        <f>TANH(R19)</f>
        <v>0.99927735073811652</v>
      </c>
      <c r="S27" s="6"/>
      <c r="T27" s="2" t="s">
        <v>11</v>
      </c>
      <c r="U27" s="38">
        <f>TANH(U19)</f>
        <v>0.99999551035277756</v>
      </c>
      <c r="V27" s="6"/>
      <c r="W27" s="3" t="s">
        <v>20</v>
      </c>
      <c r="X27" s="37">
        <f>TANH(X19)</f>
        <v>0.99999999498036374</v>
      </c>
      <c r="Y27" s="3"/>
      <c r="AA27" s="3"/>
      <c r="AC27" s="3"/>
      <c r="AD27" s="3"/>
      <c r="AE27" s="3"/>
    </row>
    <row r="28" spans="1:32" ht="13">
      <c r="D28" s="3"/>
      <c r="E28" s="3"/>
      <c r="F28" s="27"/>
      <c r="G28" s="27"/>
      <c r="H28" s="27"/>
      <c r="I28" s="27"/>
      <c r="N28" s="3"/>
      <c r="O28" s="38">
        <f t="shared" si="3"/>
        <v>-0.76159415595576485</v>
      </c>
      <c r="P28" s="6"/>
      <c r="Q28" s="3"/>
      <c r="R28" s="38">
        <f t="shared" ref="R28:R30" si="4">TANH(R20)</f>
        <v>0.74606799844559946</v>
      </c>
      <c r="S28" s="6"/>
      <c r="T28" s="2"/>
      <c r="U28" s="38">
        <f t="shared" ref="U28:U30" si="5">TANH(U20)</f>
        <v>0.9517120109620244</v>
      </c>
      <c r="V28" s="6"/>
      <c r="W28" s="3"/>
      <c r="X28" s="37">
        <f t="shared" ref="X28:X30" si="6">TANH(X20)</f>
        <v>0.98988468303489097</v>
      </c>
      <c r="Y28" s="3"/>
      <c r="AA28" s="3"/>
      <c r="AC28" s="3"/>
      <c r="AD28" s="3"/>
      <c r="AE28" s="3"/>
    </row>
    <row r="29" spans="1:32" ht="13">
      <c r="D29" s="3"/>
      <c r="E29" s="3"/>
      <c r="F29" s="27"/>
      <c r="G29" s="27"/>
      <c r="H29" s="27"/>
      <c r="I29" s="27"/>
      <c r="N29" s="3"/>
      <c r="O29" s="38">
        <f t="shared" si="3"/>
        <v>0.76159415595576485</v>
      </c>
      <c r="P29" s="6"/>
      <c r="Q29" s="3"/>
      <c r="R29" s="38">
        <f t="shared" si="4"/>
        <v>0.99883923596754132</v>
      </c>
      <c r="S29" s="6"/>
      <c r="T29" s="2"/>
      <c r="U29" s="38">
        <f t="shared" si="5"/>
        <v>0.99979525136561187</v>
      </c>
      <c r="V29" s="6"/>
      <c r="W29" s="3"/>
      <c r="X29" s="37">
        <f t="shared" si="6"/>
        <v>0.99848448059215689</v>
      </c>
      <c r="Y29" s="3"/>
      <c r="AA29" s="3"/>
      <c r="AC29" s="3"/>
      <c r="AD29" s="3"/>
      <c r="AE29" s="3"/>
    </row>
    <row r="30" spans="1:32" ht="13">
      <c r="D30" s="3"/>
      <c r="E30" s="3"/>
      <c r="F30" s="27"/>
      <c r="G30" s="27"/>
      <c r="H30" s="27"/>
      <c r="I30" s="27"/>
      <c r="N30" s="3"/>
      <c r="O30" s="38">
        <f t="shared" si="3"/>
        <v>0.99932929973906692</v>
      </c>
      <c r="P30" s="6"/>
      <c r="Q30" s="3"/>
      <c r="R30" s="38">
        <f t="shared" si="4"/>
        <v>0.997943762047795</v>
      </c>
      <c r="S30" s="6"/>
      <c r="T30" s="2"/>
      <c r="U30" s="38">
        <f t="shared" si="5"/>
        <v>0.99995378482425179</v>
      </c>
      <c r="V30" s="6"/>
      <c r="W30" s="3"/>
      <c r="X30" s="37">
        <f t="shared" si="6"/>
        <v>0.99977409818983809</v>
      </c>
      <c r="Y30" s="3"/>
      <c r="AA30" s="3"/>
      <c r="AC30" s="3"/>
      <c r="AD30" s="3"/>
      <c r="AE30" s="3"/>
    </row>
    <row r="31" spans="1:32" ht="13">
      <c r="D31" s="3"/>
      <c r="E31" s="3"/>
      <c r="F31" s="27"/>
      <c r="G31" s="27"/>
      <c r="H31" s="27"/>
      <c r="I31" s="27"/>
      <c r="N31" s="3"/>
      <c r="O31" s="38">
        <f t="shared" si="3"/>
        <v>-0.76159415595576485</v>
      </c>
      <c r="P31" s="6"/>
      <c r="Q31" s="6"/>
      <c r="R31" s="38">
        <f t="shared" ref="R31:R32" si="7">TANH(R23)</f>
        <v>0.83439534587696074</v>
      </c>
      <c r="S31" s="6"/>
      <c r="T31" s="3"/>
      <c r="U31" s="38">
        <f t="shared" ref="U31:U32" si="8">TANH(U23)</f>
        <v>0.64253135804329464</v>
      </c>
      <c r="V31" s="6"/>
      <c r="W31" s="26"/>
      <c r="X31" s="37">
        <f t="shared" ref="X31:X32" si="9">TANH(X23)</f>
        <v>0.73990796877074005</v>
      </c>
      <c r="Y31" s="3"/>
      <c r="Z31" s="3"/>
      <c r="AA31" s="3"/>
      <c r="AB31" s="3"/>
      <c r="AC31" s="3"/>
      <c r="AD31" s="3"/>
      <c r="AE31" s="3"/>
      <c r="AF31" s="3"/>
    </row>
    <row r="32" spans="1:32" ht="13">
      <c r="A32" s="5"/>
      <c r="B32" s="5"/>
      <c r="D32" s="3"/>
      <c r="E32" s="3"/>
      <c r="F32" s="3"/>
      <c r="G32" s="3"/>
      <c r="H32" s="3"/>
      <c r="I32" s="3"/>
      <c r="J32" s="3"/>
      <c r="K32" s="3"/>
      <c r="L32" s="3"/>
      <c r="M32" s="3"/>
      <c r="N32" s="3"/>
      <c r="O32" s="38">
        <f t="shared" si="3"/>
        <v>0.96402758007581701</v>
      </c>
      <c r="P32" s="3"/>
      <c r="Q32" s="3"/>
      <c r="R32" s="38">
        <f t="shared" si="7"/>
        <v>0.76131233514305174</v>
      </c>
      <c r="S32" s="3"/>
      <c r="T32" s="3"/>
      <c r="U32" s="38">
        <f t="shared" si="8"/>
        <v>0.95007123368964608</v>
      </c>
      <c r="V32" s="26"/>
      <c r="W32" s="26"/>
      <c r="X32" s="37">
        <f t="shared" si="9"/>
        <v>0.56647858332226053</v>
      </c>
      <c r="Y32" s="3"/>
      <c r="Z32" s="3"/>
      <c r="AA32" s="3"/>
      <c r="AB32" s="3"/>
      <c r="AC32" s="3"/>
      <c r="AD32" s="3"/>
      <c r="AE32" s="3"/>
      <c r="AF32" s="3"/>
    </row>
    <row r="33" spans="6:32" ht="13">
      <c r="O33" s="3">
        <v>1</v>
      </c>
      <c r="R33" s="3">
        <v>1</v>
      </c>
      <c r="U33" s="3">
        <v>1</v>
      </c>
      <c r="X33" s="3">
        <v>1</v>
      </c>
      <c r="AC33" s="3"/>
      <c r="AD33" s="3"/>
      <c r="AE33" s="3"/>
    </row>
    <row r="34" spans="6:32" ht="13">
      <c r="J34" s="27"/>
      <c r="K34" s="27"/>
      <c r="O34" s="3" t="s">
        <v>12</v>
      </c>
      <c r="R34" s="3" t="s">
        <v>12</v>
      </c>
      <c r="U34" s="3" t="s">
        <v>12</v>
      </c>
      <c r="X34" s="3" t="s">
        <v>12</v>
      </c>
      <c r="AC34" s="3"/>
      <c r="AD34" s="3"/>
      <c r="AE34" s="3"/>
    </row>
    <row r="35" spans="6:32" ht="13">
      <c r="F35" s="9" t="s">
        <v>21</v>
      </c>
      <c r="G35" s="9"/>
      <c r="H35" s="9"/>
      <c r="I35" s="9"/>
      <c r="J35" s="30"/>
      <c r="K35" s="30"/>
      <c r="L35" s="9" t="s">
        <v>22</v>
      </c>
      <c r="M35" s="3"/>
      <c r="N35" s="28" t="s">
        <v>23</v>
      </c>
      <c r="O35" s="29"/>
      <c r="Q35" s="2"/>
      <c r="T35" s="2"/>
      <c r="U35" s="29"/>
      <c r="W35" s="2"/>
      <c r="X35" s="29"/>
      <c r="AC35" s="3"/>
      <c r="AD35" s="3"/>
      <c r="AE35" s="3"/>
      <c r="AF35" s="28"/>
    </row>
    <row r="36" spans="6:32" ht="13">
      <c r="F36" s="47">
        <v>3</v>
      </c>
      <c r="G36" s="48">
        <v>0</v>
      </c>
      <c r="H36" s="48">
        <v>0</v>
      </c>
      <c r="I36" s="48">
        <v>0</v>
      </c>
      <c r="J36" s="48">
        <v>2</v>
      </c>
      <c r="K36" s="48">
        <v>-1</v>
      </c>
      <c r="L36" s="49">
        <v>-1</v>
      </c>
      <c r="M36" s="3" t="s">
        <v>16</v>
      </c>
      <c r="N36" s="2" t="s">
        <v>24</v>
      </c>
      <c r="O36" s="38" cm="1">
        <f t="array" ref="O36">MMULT($F36:$L36,O$27:O$33)</f>
        <v>-0.48922799277014584</v>
      </c>
      <c r="Q36" s="2" t="s">
        <v>25</v>
      </c>
      <c r="R36" s="38" cm="1">
        <f t="array" ref="R36">MMULT($F36:$L36,R$27:R$33)</f>
        <v>2.9053104088252195</v>
      </c>
      <c r="T36" s="2" t="s">
        <v>26</v>
      </c>
      <c r="U36" s="38" cm="1">
        <f t="array" ref="U36">MMULT($F36:$L36,U$27:U$33)</f>
        <v>2.334978013455276</v>
      </c>
      <c r="W36" s="2" t="s">
        <v>27</v>
      </c>
      <c r="X36" s="38" cm="1">
        <f t="array" ref="X36">MMULT($F36:$L36,X$27:X$33)</f>
        <v>2.9133373391603108</v>
      </c>
      <c r="AC36" s="3"/>
      <c r="AD36" s="3"/>
      <c r="AE36" s="3"/>
      <c r="AF36" s="28"/>
    </row>
    <row r="37" spans="6:32" ht="13">
      <c r="F37" s="50">
        <v>0</v>
      </c>
      <c r="G37" s="46">
        <v>1</v>
      </c>
      <c r="H37" s="46">
        <v>0</v>
      </c>
      <c r="I37" s="46">
        <v>-1</v>
      </c>
      <c r="J37" s="46">
        <v>0</v>
      </c>
      <c r="K37" s="46">
        <v>0</v>
      </c>
      <c r="L37" s="51">
        <v>0</v>
      </c>
      <c r="M37" s="3" t="s">
        <v>16</v>
      </c>
      <c r="N37" s="28"/>
      <c r="O37" s="38" cm="1">
        <f t="array" ref="O37">MMULT($F37:$L37,O$27:O$33)</f>
        <v>-1.7609234556948317</v>
      </c>
      <c r="Q37" s="2"/>
      <c r="R37" s="38" cm="1">
        <f t="array" ref="R37">MMULT($F37:$L37,R$27:R$33)</f>
        <v>-0.25187576360219555</v>
      </c>
      <c r="T37" s="2"/>
      <c r="U37" s="38" cm="1">
        <f t="array" ref="U37">MMULT($F37:$L37,U$27:U$33)</f>
        <v>-4.8241773862227388E-2</v>
      </c>
      <c r="W37" s="2"/>
      <c r="X37" s="38" cm="1">
        <f t="array" ref="X37">MMULT($F37:$L37,X$27:X$33)</f>
        <v>-9.8894151549471232E-3</v>
      </c>
      <c r="AC37" s="3"/>
      <c r="AD37" s="3"/>
      <c r="AE37" s="3"/>
      <c r="AF37" s="28"/>
    </row>
    <row r="38" spans="6:32" ht="13">
      <c r="F38" s="52">
        <v>3</v>
      </c>
      <c r="G38" s="53">
        <v>0</v>
      </c>
      <c r="H38" s="53">
        <v>2</v>
      </c>
      <c r="I38" s="53">
        <v>0</v>
      </c>
      <c r="J38" s="53">
        <v>1</v>
      </c>
      <c r="K38" s="53">
        <v>0</v>
      </c>
      <c r="L38" s="54">
        <v>-2</v>
      </c>
      <c r="M38" s="3" t="s">
        <v>16</v>
      </c>
      <c r="O38" s="38" cm="1">
        <f t="array" ref="O38">MMULT($F38:$L38,O$27:O$33)</f>
        <v>1.7595820551729662</v>
      </c>
      <c r="R38" s="38" cm="1">
        <f t="array" ref="R38">MMULT($F38:$L38,R$27:R$33)</f>
        <v>3.8299058700263933</v>
      </c>
      <c r="U38" s="38">
        <f t="array" ref="U38">MMULT($F38:$L38,U27:U33)</f>
        <v>3.642108391832851</v>
      </c>
      <c r="X38" s="38" cm="1">
        <f t="array" ref="X38">MMULT($F38:$L38,X$27:X$33)</f>
        <v>3.7368769148961443</v>
      </c>
      <c r="AC38" s="3"/>
      <c r="AD38" s="3"/>
      <c r="AE38" s="3"/>
      <c r="AF38" s="28"/>
    </row>
    <row r="39" spans="6:32" ht="15" customHeight="1">
      <c r="O39" s="3" t="s">
        <v>12</v>
      </c>
      <c r="P39" s="35"/>
      <c r="Q39" s="35"/>
      <c r="R39" s="3" t="s">
        <v>12</v>
      </c>
      <c r="S39" s="35"/>
      <c r="T39" s="35"/>
      <c r="U39" s="3" t="s">
        <v>12</v>
      </c>
      <c r="V39" s="35"/>
      <c r="W39" s="35"/>
      <c r="X39" s="3" t="s">
        <v>12</v>
      </c>
      <c r="AC39" s="3"/>
      <c r="AD39" s="3"/>
      <c r="AE39" s="3"/>
    </row>
    <row r="40" spans="6:32" ht="13">
      <c r="M40" s="69" t="s">
        <v>41</v>
      </c>
      <c r="O40" s="67">
        <f>EXP(O36)</f>
        <v>0.61309952879809837</v>
      </c>
      <c r="P40" s="35"/>
      <c r="Q40" s="35"/>
      <c r="R40" s="67">
        <f>EXP(R36)</f>
        <v>18.270914225086013</v>
      </c>
      <c r="S40" s="35"/>
      <c r="T40" s="35"/>
      <c r="U40" s="67">
        <f>EXP(U36)</f>
        <v>10.329232822733475</v>
      </c>
      <c r="V40" s="35"/>
      <c r="W40" s="35"/>
      <c r="X40" s="67">
        <f>EXP(X36)</f>
        <v>18.418163771026506</v>
      </c>
      <c r="AC40" s="3"/>
      <c r="AD40" s="3"/>
      <c r="AE40" s="3"/>
    </row>
    <row r="41" spans="6:32" ht="13">
      <c r="O41" s="67">
        <f>EXP(O37)</f>
        <v>0.17188606134859646</v>
      </c>
      <c r="P41" s="35"/>
      <c r="Q41" s="35"/>
      <c r="R41" s="67">
        <f>EXP(R37)</f>
        <v>0.7773413061539276</v>
      </c>
      <c r="S41" s="35"/>
      <c r="T41" s="35"/>
      <c r="U41" s="67">
        <f>EXP(U37)</f>
        <v>0.95290337209586606</v>
      </c>
      <c r="V41" s="35"/>
      <c r="W41" s="35"/>
      <c r="X41" s="67">
        <f>EXP(X37)</f>
        <v>0.99015932431051468</v>
      </c>
      <c r="AC41" s="3"/>
      <c r="AD41" s="3"/>
      <c r="AE41" s="3"/>
    </row>
    <row r="42" spans="6:32" ht="13">
      <c r="M42" s="34"/>
      <c r="O42" s="67">
        <f>EXP(O38)</f>
        <v>5.8100086238425401</v>
      </c>
      <c r="P42" s="35"/>
      <c r="Q42" s="35"/>
      <c r="R42" s="67">
        <f>EXP(R38)</f>
        <v>46.058202572767279</v>
      </c>
      <c r="S42" s="35"/>
      <c r="T42" s="35"/>
      <c r="U42" s="67">
        <f>EXP(U38)</f>
        <v>38.17223396751087</v>
      </c>
      <c r="V42" s="35"/>
      <c r="W42" s="35"/>
      <c r="X42" s="67">
        <f>EXP(X38)</f>
        <v>41.966719650202322</v>
      </c>
      <c r="AC42" s="3"/>
      <c r="AD42" s="3"/>
      <c r="AE42" s="3"/>
    </row>
    <row r="43" spans="6:32" ht="13" customHeight="1">
      <c r="M43" s="68" t="s">
        <v>40</v>
      </c>
      <c r="O43" s="3" t="s">
        <v>12</v>
      </c>
      <c r="P43" s="35"/>
      <c r="Q43" s="35"/>
      <c r="R43" s="3" t="s">
        <v>12</v>
      </c>
      <c r="S43" s="35"/>
      <c r="T43" s="35"/>
      <c r="U43" s="3" t="s">
        <v>12</v>
      </c>
      <c r="V43" s="35"/>
      <c r="W43" s="35"/>
      <c r="X43" s="3" t="s">
        <v>12</v>
      </c>
      <c r="AC43" s="3"/>
      <c r="AD43" s="3"/>
      <c r="AE43" s="3"/>
    </row>
    <row r="44" spans="6:32" ht="13">
      <c r="I44" s="5" t="s">
        <v>29</v>
      </c>
      <c r="N44" s="3" t="s">
        <v>30</v>
      </c>
      <c r="O44" s="44">
        <f>O40/SUM(O$40:O$42)</f>
        <v>9.2964377057010578E-2</v>
      </c>
      <c r="Q44" s="3" t="s">
        <v>31</v>
      </c>
      <c r="R44" s="44">
        <f>R40/SUM(R$40:R$42)</f>
        <v>0.28063136526177368</v>
      </c>
      <c r="T44" s="3" t="s">
        <v>32</v>
      </c>
      <c r="U44" s="44">
        <f>U40/SUM(U$40:U$42)</f>
        <v>0.20886390401548871</v>
      </c>
      <c r="W44" s="3" t="s">
        <v>33</v>
      </c>
      <c r="X44" s="44">
        <f>X40/SUM(X$40:X$42)</f>
        <v>0.30009207239802882</v>
      </c>
      <c r="AC44" s="3"/>
      <c r="AD44" s="3"/>
      <c r="AE44" s="3"/>
      <c r="AF44" s="28"/>
    </row>
    <row r="45" spans="6:32" ht="13">
      <c r="O45" s="44">
        <f>O41/SUM(O$40:O$42)</f>
        <v>2.6063110257776041E-2</v>
      </c>
      <c r="R45" s="44">
        <f>R41/SUM(R$40:R$42)</f>
        <v>1.1939542232694167E-2</v>
      </c>
      <c r="U45" s="44">
        <f>U41/SUM(U$40:U$42)</f>
        <v>1.9268335012008857E-2</v>
      </c>
      <c r="X45" s="44">
        <f>X41/SUM(X$40:X$42)</f>
        <v>1.6132930911603775E-2</v>
      </c>
      <c r="AC45" s="3"/>
      <c r="AD45" s="3"/>
      <c r="AE45" s="3"/>
    </row>
    <row r="46" spans="6:32" ht="13">
      <c r="O46" s="44">
        <f>O42/SUM(O$40:O$42)</f>
        <v>0.88097251268521337</v>
      </c>
      <c r="R46" s="44">
        <f>R42/SUM(R$40:R$42)</f>
        <v>0.70742909250553221</v>
      </c>
      <c r="U46" s="44">
        <f>U42/SUM(U$40:U$42)</f>
        <v>0.77186776097250243</v>
      </c>
      <c r="X46" s="44">
        <f>X42/SUM(X$40:X$42)</f>
        <v>0.68377499669036734</v>
      </c>
      <c r="AC46" s="3"/>
      <c r="AD46" s="3"/>
      <c r="AE46" s="3"/>
    </row>
    <row r="47" spans="6:32" ht="13">
      <c r="AC47" s="3"/>
      <c r="AD47" s="3"/>
      <c r="AE47" s="3"/>
    </row>
    <row r="48" spans="6:32" ht="13">
      <c r="AC48" s="3"/>
      <c r="AD48" s="3"/>
      <c r="AE48" s="3"/>
    </row>
    <row r="49" spans="29:31" ht="13">
      <c r="AC49" s="3"/>
      <c r="AD49" s="3"/>
      <c r="AE49" s="3"/>
    </row>
    <row r="50" spans="29:31" ht="13">
      <c r="AC50" s="3"/>
      <c r="AD50" s="3"/>
      <c r="AE50" s="3"/>
    </row>
    <row r="51" spans="29:31" ht="13">
      <c r="AC51" s="3"/>
      <c r="AD51" s="3"/>
      <c r="AE51" s="3"/>
    </row>
    <row r="52" spans="29:31" ht="13">
      <c r="AC52" s="3"/>
      <c r="AD52" s="3"/>
      <c r="AE52" s="3"/>
    </row>
    <row r="53" spans="29:31" ht="13">
      <c r="AD53" s="3"/>
      <c r="AE53" s="3"/>
    </row>
    <row r="54" spans="29:31" ht="13">
      <c r="AD54" s="3"/>
      <c r="AE54" s="3"/>
    </row>
    <row r="55" spans="29:31" ht="13">
      <c r="AD55" s="3"/>
      <c r="AE55" s="3"/>
    </row>
    <row r="56" spans="29:31" ht="13">
      <c r="AD56" s="3"/>
      <c r="AE56" s="3"/>
    </row>
    <row r="57" spans="29:31" ht="13">
      <c r="AD57" s="3"/>
      <c r="AE57" s="3"/>
    </row>
    <row r="58" spans="29:31" ht="13">
      <c r="AD58" s="3"/>
      <c r="AE58" s="3"/>
    </row>
    <row r="59" spans="29:31" ht="13">
      <c r="AD59" s="3"/>
      <c r="AE59" s="3"/>
    </row>
    <row r="60" spans="29:31" ht="13">
      <c r="AD60" s="3"/>
      <c r="AE60" s="3"/>
    </row>
    <row r="61" spans="29:31" ht="13">
      <c r="AD61" s="3"/>
      <c r="AE61" s="3"/>
    </row>
    <row r="62" spans="29:31" ht="13">
      <c r="AD62" s="3"/>
      <c r="AE62" s="3"/>
    </row>
    <row r="63" spans="29:31" ht="13">
      <c r="AD63" s="3"/>
      <c r="AE63" s="3"/>
    </row>
    <row r="64" spans="29:31" ht="13">
      <c r="AD64" s="3"/>
      <c r="AE64" s="3"/>
    </row>
    <row r="65" spans="30:31" ht="13">
      <c r="AD65" s="3"/>
      <c r="AE65" s="3"/>
    </row>
    <row r="66" spans="30:31" ht="13">
      <c r="AD66" s="3"/>
      <c r="AE66" s="3"/>
    </row>
    <row r="67" spans="30:31" ht="13">
      <c r="AD67" s="3"/>
      <c r="AE67" s="3"/>
    </row>
    <row r="68" spans="30:31" ht="13">
      <c r="AD68" s="3"/>
      <c r="AE68" s="3"/>
    </row>
    <row r="69" spans="30:31" ht="13">
      <c r="AD69" s="3"/>
      <c r="AE69" s="3"/>
    </row>
    <row r="70" spans="30:31" ht="13">
      <c r="AD70" s="3"/>
      <c r="AE70" s="3"/>
    </row>
    <row r="71" spans="30:31" ht="13">
      <c r="AD71" s="3"/>
      <c r="AE71" s="3"/>
    </row>
    <row r="72" spans="30:31" ht="13">
      <c r="AD72" s="3"/>
      <c r="AE72" s="3"/>
    </row>
    <row r="73" spans="30:31" ht="13">
      <c r="AD73" s="3"/>
      <c r="AE73" s="3"/>
    </row>
    <row r="74" spans="30:31" ht="13">
      <c r="AD74" s="3"/>
      <c r="AE74" s="3"/>
    </row>
    <row r="75" spans="30:31" ht="13">
      <c r="AD75" s="3"/>
      <c r="AE75" s="3"/>
    </row>
    <row r="76" spans="30:31" ht="13">
      <c r="AD76" s="3"/>
      <c r="AE76" s="3"/>
    </row>
    <row r="77" spans="30:31" ht="13">
      <c r="AD77" s="3"/>
      <c r="AE77" s="3"/>
    </row>
    <row r="78" spans="30:31" ht="13">
      <c r="AD78" s="3"/>
      <c r="AE78" s="3"/>
    </row>
    <row r="79" spans="30:31" ht="13">
      <c r="AD79" s="3"/>
      <c r="AE79" s="3"/>
    </row>
    <row r="80" spans="30:31" ht="13">
      <c r="AD80" s="3"/>
      <c r="AE80" s="3"/>
    </row>
    <row r="81" spans="30:31" ht="13">
      <c r="AD81" s="3"/>
      <c r="AE81" s="3"/>
    </row>
    <row r="82" spans="30:31" ht="13">
      <c r="AD82" s="3"/>
      <c r="AE82" s="3"/>
    </row>
    <row r="83" spans="30:31" ht="13">
      <c r="AD83" s="3"/>
      <c r="AE83" s="3"/>
    </row>
    <row r="84" spans="30:31" ht="13">
      <c r="AD84" s="3"/>
      <c r="AE84" s="3"/>
    </row>
    <row r="85" spans="30:31" ht="13">
      <c r="AD85" s="3"/>
      <c r="AE85" s="3"/>
    </row>
    <row r="86" spans="30:31" ht="13">
      <c r="AD86" s="3"/>
      <c r="AE86" s="3"/>
    </row>
    <row r="87" spans="30:31" ht="13">
      <c r="AD87" s="3"/>
      <c r="AE87" s="3"/>
    </row>
    <row r="88" spans="30:31" ht="13">
      <c r="AD88" s="3"/>
      <c r="AE88" s="3"/>
    </row>
    <row r="89" spans="30:31" ht="13">
      <c r="AD89" s="3"/>
      <c r="AE89" s="3"/>
    </row>
    <row r="90" spans="30:31" ht="13">
      <c r="AD90" s="3"/>
      <c r="AE90" s="3"/>
    </row>
    <row r="91" spans="30:31" ht="13">
      <c r="AD91" s="3"/>
      <c r="AE91" s="3"/>
    </row>
    <row r="92" spans="30:31" ht="13">
      <c r="AD92" s="3"/>
      <c r="AE92" s="3"/>
    </row>
    <row r="93" spans="30:31" ht="13">
      <c r="AD93" s="3"/>
      <c r="AE93" s="3"/>
    </row>
    <row r="94" spans="30:31" ht="13">
      <c r="AD94" s="3"/>
      <c r="AE94" s="3"/>
    </row>
    <row r="95" spans="30:31" ht="13">
      <c r="AD95" s="3"/>
      <c r="AE95" s="3"/>
    </row>
    <row r="96" spans="30:31" ht="13">
      <c r="AD96" s="3"/>
      <c r="AE96" s="3"/>
    </row>
    <row r="97" spans="30:31" ht="13">
      <c r="AD97" s="3"/>
      <c r="AE97" s="3"/>
    </row>
    <row r="98" spans="30:31" ht="13">
      <c r="AD98" s="3"/>
      <c r="AE98" s="3"/>
    </row>
    <row r="99" spans="30:31" ht="13">
      <c r="AD99" s="3"/>
      <c r="AE99" s="3"/>
    </row>
    <row r="100" spans="30:31" ht="13">
      <c r="AD100" s="3"/>
      <c r="AE100" s="3"/>
    </row>
    <row r="101" spans="30:31" ht="13">
      <c r="AD101" s="3"/>
      <c r="AE101" s="3"/>
    </row>
    <row r="102" spans="30:31" ht="13">
      <c r="AD102" s="3"/>
      <c r="AE102" s="3"/>
    </row>
    <row r="103" spans="30:31" ht="13">
      <c r="AD103" s="3"/>
      <c r="AE103" s="3"/>
    </row>
    <row r="104" spans="30:31" ht="13">
      <c r="AD104" s="3"/>
      <c r="AE104" s="3"/>
    </row>
    <row r="105" spans="30:31" ht="13">
      <c r="AD105" s="3"/>
      <c r="AE105" s="3"/>
    </row>
    <row r="106" spans="30:31" ht="13">
      <c r="AD106" s="3"/>
      <c r="AE106" s="3"/>
    </row>
    <row r="107" spans="30:31" ht="13">
      <c r="AD107" s="3"/>
      <c r="AE107" s="3"/>
    </row>
    <row r="108" spans="30:31" ht="13">
      <c r="AD108" s="3"/>
      <c r="AE108" s="3"/>
    </row>
    <row r="109" spans="30:31" ht="13">
      <c r="AD109" s="3"/>
      <c r="AE109" s="3"/>
    </row>
    <row r="110" spans="30:31" ht="13">
      <c r="AD110" s="3"/>
      <c r="AE110" s="3"/>
    </row>
    <row r="111" spans="30:31" ht="13">
      <c r="AD111" s="3"/>
      <c r="AE111" s="3"/>
    </row>
    <row r="112" spans="30:31" ht="13">
      <c r="AD112" s="3"/>
      <c r="AE112" s="3"/>
    </row>
    <row r="113" spans="30:31" ht="13">
      <c r="AD113" s="3"/>
      <c r="AE113" s="3"/>
    </row>
    <row r="114" spans="30:31" ht="13">
      <c r="AD114" s="3"/>
      <c r="AE114" s="3"/>
    </row>
    <row r="115" spans="30:31" ht="13">
      <c r="AD115" s="3"/>
      <c r="AE115" s="3"/>
    </row>
    <row r="116" spans="30:31" ht="13">
      <c r="AD116" s="3"/>
      <c r="AE116" s="3"/>
    </row>
    <row r="117" spans="30:31" ht="13">
      <c r="AD117" s="3"/>
      <c r="AE117" s="3"/>
    </row>
    <row r="118" spans="30:31" ht="13">
      <c r="AD118" s="3"/>
      <c r="AE118" s="3"/>
    </row>
    <row r="119" spans="30:31" ht="13">
      <c r="AD119" s="3"/>
      <c r="AE119" s="3"/>
    </row>
    <row r="120" spans="30:31" ht="13">
      <c r="AD120" s="3"/>
      <c r="AE120" s="3"/>
    </row>
    <row r="121" spans="30:31" ht="13">
      <c r="AD121" s="3"/>
      <c r="AE121" s="3"/>
    </row>
    <row r="122" spans="30:31" ht="13">
      <c r="AD122" s="3"/>
      <c r="AE122" s="3"/>
    </row>
    <row r="123" spans="30:31" ht="13">
      <c r="AD123" s="3"/>
      <c r="AE123" s="3"/>
    </row>
    <row r="124" spans="30:31" ht="13">
      <c r="AD124" s="3"/>
      <c r="AE124" s="3"/>
    </row>
    <row r="125" spans="30:31" ht="13">
      <c r="AD125" s="3"/>
      <c r="AE125" s="3"/>
    </row>
    <row r="126" spans="30:31" ht="13">
      <c r="AD126" s="3"/>
      <c r="AE126" s="3"/>
    </row>
    <row r="127" spans="30:31" ht="13">
      <c r="AD127" s="3"/>
      <c r="AE127" s="3"/>
    </row>
    <row r="128" spans="30:31" ht="13">
      <c r="AD128" s="3"/>
      <c r="AE128" s="3"/>
    </row>
    <row r="129" spans="30:31" ht="13">
      <c r="AD129" s="3"/>
      <c r="AE129" s="3"/>
    </row>
    <row r="130" spans="30:31" ht="13">
      <c r="AD130" s="3"/>
      <c r="AE130" s="3"/>
    </row>
    <row r="131" spans="30:31" ht="13">
      <c r="AD131" s="3"/>
      <c r="AE131" s="3"/>
    </row>
    <row r="132" spans="30:31" ht="13">
      <c r="AD132" s="3"/>
      <c r="AE132" s="3"/>
    </row>
    <row r="133" spans="30:31" ht="13">
      <c r="AD133" s="3"/>
      <c r="AE133" s="3"/>
    </row>
    <row r="134" spans="30:31" ht="13">
      <c r="AD134" s="3"/>
      <c r="AE134" s="3"/>
    </row>
    <row r="135" spans="30:31" ht="13">
      <c r="AD135" s="3"/>
      <c r="AE135" s="3"/>
    </row>
    <row r="136" spans="30:31" ht="13">
      <c r="AD136" s="3"/>
      <c r="AE136" s="3"/>
    </row>
    <row r="137" spans="30:31" ht="13">
      <c r="AD137" s="3"/>
      <c r="AE137" s="3"/>
    </row>
    <row r="138" spans="30:31" ht="13">
      <c r="AD138" s="3"/>
      <c r="AE138" s="3"/>
    </row>
    <row r="139" spans="30:31" ht="13">
      <c r="AD139" s="3"/>
      <c r="AE139" s="3"/>
    </row>
    <row r="140" spans="30:31" ht="13">
      <c r="AD140" s="3"/>
      <c r="AE140" s="3"/>
    </row>
    <row r="141" spans="30:31" ht="13">
      <c r="AD141" s="3"/>
      <c r="AE141" s="3"/>
    </row>
    <row r="142" spans="30:31" ht="13">
      <c r="AD142" s="3"/>
      <c r="AE142" s="3"/>
    </row>
    <row r="143" spans="30:31" ht="13">
      <c r="AD143" s="3"/>
      <c r="AE143" s="3"/>
    </row>
    <row r="144" spans="30:31" ht="13">
      <c r="AD144" s="3"/>
      <c r="AE144" s="3"/>
    </row>
    <row r="145" spans="30:31" ht="13">
      <c r="AD145" s="3"/>
      <c r="AE145" s="3"/>
    </row>
    <row r="146" spans="30:31" ht="13">
      <c r="AD146" s="3"/>
      <c r="AE146" s="3"/>
    </row>
    <row r="147" spans="30:31" ht="13">
      <c r="AD147" s="3"/>
      <c r="AE147" s="3"/>
    </row>
    <row r="148" spans="30:31" ht="13">
      <c r="AD148" s="3"/>
      <c r="AE148" s="3"/>
    </row>
    <row r="149" spans="30:31" ht="13">
      <c r="AD149" s="3"/>
      <c r="AE149" s="3"/>
    </row>
    <row r="150" spans="30:31" ht="13">
      <c r="AD150" s="3"/>
      <c r="AE150" s="3"/>
    </row>
    <row r="151" spans="30:31" ht="13">
      <c r="AD151" s="3"/>
      <c r="AE151" s="3"/>
    </row>
    <row r="152" spans="30:31" ht="13">
      <c r="AD152" s="3"/>
      <c r="AE152" s="3"/>
    </row>
    <row r="153" spans="30:31" ht="13">
      <c r="AD153" s="3"/>
      <c r="AE153" s="3"/>
    </row>
    <row r="154" spans="30:31" ht="13">
      <c r="AD154" s="3"/>
      <c r="AE154" s="3"/>
    </row>
    <row r="155" spans="30:31" ht="13">
      <c r="AD155" s="3"/>
      <c r="AE155" s="3"/>
    </row>
    <row r="156" spans="30:31" ht="13">
      <c r="AD156" s="3"/>
      <c r="AE156" s="3"/>
    </row>
    <row r="157" spans="30:31" ht="13">
      <c r="AD157" s="3"/>
      <c r="AE157" s="3"/>
    </row>
    <row r="158" spans="30:31" ht="13">
      <c r="AD158" s="3"/>
      <c r="AE158" s="3"/>
    </row>
    <row r="159" spans="30:31" ht="13">
      <c r="AD159" s="3"/>
      <c r="AE159" s="3"/>
    </row>
    <row r="160" spans="30:31" ht="13">
      <c r="AD160" s="3"/>
      <c r="AE160" s="3"/>
    </row>
    <row r="161" spans="30:31" ht="13">
      <c r="AD161" s="3"/>
      <c r="AE161" s="3"/>
    </row>
    <row r="162" spans="30:31" ht="13">
      <c r="AD162" s="3"/>
      <c r="AE162" s="3"/>
    </row>
    <row r="163" spans="30:31" ht="13">
      <c r="AD163" s="3"/>
      <c r="AE163" s="3"/>
    </row>
    <row r="164" spans="30:31" ht="13">
      <c r="AD164" s="3"/>
      <c r="AE164" s="3"/>
    </row>
    <row r="165" spans="30:31" ht="13">
      <c r="AD165" s="3"/>
      <c r="AE165" s="3"/>
    </row>
    <row r="166" spans="30:31" ht="13">
      <c r="AD166" s="3"/>
      <c r="AE166" s="3"/>
    </row>
    <row r="167" spans="30:31" ht="13">
      <c r="AD167" s="3"/>
      <c r="AE167" s="3"/>
    </row>
    <row r="168" spans="30:31" ht="13">
      <c r="AD168" s="3"/>
      <c r="AE168" s="3"/>
    </row>
    <row r="169" spans="30:31" ht="13">
      <c r="AD169" s="3"/>
      <c r="AE169" s="3"/>
    </row>
    <row r="170" spans="30:31" ht="13">
      <c r="AD170" s="3"/>
      <c r="AE170" s="3"/>
    </row>
    <row r="171" spans="30:31" ht="13">
      <c r="AD171" s="3"/>
      <c r="AE171" s="3"/>
    </row>
    <row r="172" spans="30:31" ht="13">
      <c r="AD172" s="3"/>
      <c r="AE172" s="3"/>
    </row>
    <row r="173" spans="30:31" ht="13">
      <c r="AD173" s="3"/>
      <c r="AE173" s="3"/>
    </row>
    <row r="174" spans="30:31" ht="13">
      <c r="AD174" s="3"/>
      <c r="AE174" s="3"/>
    </row>
    <row r="175" spans="30:31" ht="13">
      <c r="AD175" s="3"/>
      <c r="AE175" s="3"/>
    </row>
    <row r="176" spans="30:31" ht="13">
      <c r="AD176" s="3"/>
      <c r="AE176" s="3"/>
    </row>
    <row r="177" spans="30:31" ht="13">
      <c r="AD177" s="3"/>
      <c r="AE177" s="3"/>
    </row>
    <row r="178" spans="30:31" ht="13">
      <c r="AD178" s="3"/>
      <c r="AE178" s="3"/>
    </row>
    <row r="179" spans="30:31" ht="13">
      <c r="AD179" s="3"/>
      <c r="AE179" s="3"/>
    </row>
    <row r="180" spans="30:31" ht="13">
      <c r="AD180" s="3"/>
      <c r="AE180" s="3"/>
    </row>
    <row r="181" spans="30:31" ht="13">
      <c r="AD181" s="3"/>
      <c r="AE181" s="3"/>
    </row>
    <row r="182" spans="30:31" ht="13">
      <c r="AD182" s="3"/>
      <c r="AE182" s="3"/>
    </row>
    <row r="183" spans="30:31" ht="13">
      <c r="AD183" s="3"/>
      <c r="AE183" s="3"/>
    </row>
    <row r="184" spans="30:31" ht="13">
      <c r="AD184" s="3"/>
      <c r="AE184" s="3"/>
    </row>
    <row r="185" spans="30:31" ht="13">
      <c r="AD185" s="3"/>
      <c r="AE185" s="3"/>
    </row>
    <row r="186" spans="30:31" ht="13">
      <c r="AD186" s="3"/>
      <c r="AE186" s="3"/>
    </row>
    <row r="187" spans="30:31" ht="13">
      <c r="AD187" s="3"/>
      <c r="AE187" s="3"/>
    </row>
    <row r="188" spans="30:31" ht="13">
      <c r="AD188" s="3"/>
      <c r="AE188" s="3"/>
    </row>
    <row r="189" spans="30:31" ht="13">
      <c r="AD189" s="3"/>
      <c r="AE189" s="3"/>
    </row>
    <row r="190" spans="30:31" ht="13">
      <c r="AD190" s="3"/>
      <c r="AE190" s="3"/>
    </row>
    <row r="191" spans="30:31" ht="13">
      <c r="AD191" s="3"/>
      <c r="AE191" s="3"/>
    </row>
    <row r="192" spans="30:31" ht="13">
      <c r="AD192" s="3"/>
      <c r="AE192" s="3"/>
    </row>
    <row r="193" spans="30:31" ht="13">
      <c r="AD193" s="3"/>
      <c r="AE193" s="3"/>
    </row>
    <row r="194" spans="30:31" ht="13">
      <c r="AD194" s="3"/>
      <c r="AE194" s="3"/>
    </row>
    <row r="195" spans="30:31" ht="13">
      <c r="AD195" s="3"/>
      <c r="AE195" s="3"/>
    </row>
    <row r="196" spans="30:31" ht="13">
      <c r="AD196" s="3"/>
      <c r="AE196" s="3"/>
    </row>
    <row r="197" spans="30:31" ht="13">
      <c r="AD197" s="3"/>
      <c r="AE197" s="3"/>
    </row>
    <row r="198" spans="30:31" ht="13">
      <c r="AD198" s="3"/>
      <c r="AE198" s="3"/>
    </row>
    <row r="199" spans="30:31" ht="13">
      <c r="AD199" s="3"/>
      <c r="AE199" s="3"/>
    </row>
    <row r="200" spans="30:31" ht="13">
      <c r="AD200" s="3"/>
      <c r="AE200" s="3"/>
    </row>
    <row r="201" spans="30:31" ht="13">
      <c r="AD201" s="3"/>
      <c r="AE201" s="3"/>
    </row>
    <row r="202" spans="30:31" ht="13">
      <c r="AD202" s="3"/>
      <c r="AE202" s="3"/>
    </row>
    <row r="203" spans="30:31" ht="13">
      <c r="AD203" s="3"/>
      <c r="AE203" s="3"/>
    </row>
    <row r="204" spans="30:31" ht="13">
      <c r="AD204" s="3"/>
      <c r="AE204" s="3"/>
    </row>
    <row r="205" spans="30:31" ht="13">
      <c r="AD205" s="3"/>
      <c r="AE205" s="3"/>
    </row>
    <row r="206" spans="30:31" ht="13">
      <c r="AD206" s="3"/>
      <c r="AE206" s="3"/>
    </row>
    <row r="207" spans="30:31" ht="13">
      <c r="AD207" s="3"/>
      <c r="AE207" s="3"/>
    </row>
    <row r="208" spans="30:31" ht="13">
      <c r="AD208" s="3"/>
      <c r="AE208" s="3"/>
    </row>
    <row r="209" spans="30:31" ht="13">
      <c r="AD209" s="3"/>
      <c r="AE209" s="3"/>
    </row>
    <row r="210" spans="30:31" ht="13">
      <c r="AD210" s="3"/>
      <c r="AE210" s="3"/>
    </row>
    <row r="211" spans="30:31" ht="13">
      <c r="AD211" s="3"/>
      <c r="AE211" s="3"/>
    </row>
    <row r="212" spans="30:31" ht="13">
      <c r="AD212" s="3"/>
      <c r="AE212" s="3"/>
    </row>
    <row r="213" spans="30:31" ht="13">
      <c r="AD213" s="3"/>
      <c r="AE213" s="3"/>
    </row>
    <row r="214" spans="30:31" ht="13">
      <c r="AD214" s="3"/>
      <c r="AE214" s="3"/>
    </row>
    <row r="215" spans="30:31" ht="13">
      <c r="AD215" s="3"/>
      <c r="AE215" s="3"/>
    </row>
    <row r="216" spans="30:31" ht="13">
      <c r="AD216" s="3"/>
      <c r="AE216" s="3"/>
    </row>
    <row r="217" spans="30:31" ht="13">
      <c r="AD217" s="3"/>
      <c r="AE217" s="3"/>
    </row>
    <row r="218" spans="30:31" ht="13">
      <c r="AD218" s="3"/>
      <c r="AE218" s="3"/>
    </row>
    <row r="219" spans="30:31" ht="13">
      <c r="AD219" s="3"/>
      <c r="AE219" s="3"/>
    </row>
    <row r="220" spans="30:31" ht="13">
      <c r="AD220" s="3"/>
      <c r="AE220" s="3"/>
    </row>
    <row r="221" spans="30:31" ht="13">
      <c r="AD221" s="3"/>
      <c r="AE221" s="3"/>
    </row>
    <row r="222" spans="30:31" ht="13">
      <c r="AD222" s="3"/>
      <c r="AE222" s="3"/>
    </row>
    <row r="223" spans="30:31" ht="13">
      <c r="AD223" s="3"/>
      <c r="AE223" s="3"/>
    </row>
    <row r="224" spans="30:31" ht="13">
      <c r="AD224" s="3"/>
      <c r="AE224" s="3"/>
    </row>
    <row r="225" spans="30:31" ht="13">
      <c r="AD225" s="3"/>
      <c r="AE225" s="3"/>
    </row>
    <row r="226" spans="30:31" ht="13">
      <c r="AD226" s="3"/>
      <c r="AE226" s="3"/>
    </row>
    <row r="227" spans="30:31" ht="13">
      <c r="AD227" s="3"/>
      <c r="AE227" s="3"/>
    </row>
    <row r="228" spans="30:31" ht="13">
      <c r="AD228" s="3"/>
      <c r="AE228" s="3"/>
    </row>
    <row r="229" spans="30:31" ht="13">
      <c r="AD229" s="3"/>
      <c r="AE229" s="3"/>
    </row>
    <row r="230" spans="30:31" ht="13">
      <c r="AD230" s="3"/>
      <c r="AE230" s="3"/>
    </row>
    <row r="231" spans="30:31" ht="13">
      <c r="AD231" s="3"/>
      <c r="AE231" s="3"/>
    </row>
    <row r="232" spans="30:31" ht="13">
      <c r="AD232" s="3"/>
      <c r="AE232" s="3"/>
    </row>
    <row r="233" spans="30:31" ht="13">
      <c r="AD233" s="3"/>
      <c r="AE233" s="3"/>
    </row>
    <row r="234" spans="30:31" ht="13">
      <c r="AD234" s="3"/>
      <c r="AE234" s="3"/>
    </row>
    <row r="235" spans="30:31" ht="13">
      <c r="AD235" s="3"/>
      <c r="AE235" s="3"/>
    </row>
    <row r="236" spans="30:31" ht="13">
      <c r="AD236" s="3"/>
      <c r="AE236" s="3"/>
    </row>
    <row r="237" spans="30:31" ht="13">
      <c r="AD237" s="3"/>
      <c r="AE237" s="3"/>
    </row>
    <row r="238" spans="30:31" ht="13">
      <c r="AD238" s="3"/>
      <c r="AE238" s="3"/>
    </row>
    <row r="239" spans="30:31" ht="13">
      <c r="AD239" s="3"/>
      <c r="AE239" s="3"/>
    </row>
    <row r="240" spans="30:31" ht="13">
      <c r="AD240" s="3"/>
      <c r="AE240" s="3"/>
    </row>
    <row r="241" spans="30:31" ht="13">
      <c r="AD241" s="3"/>
      <c r="AE241" s="3"/>
    </row>
    <row r="242" spans="30:31" ht="13">
      <c r="AD242" s="3"/>
      <c r="AE242" s="3"/>
    </row>
    <row r="243" spans="30:31" ht="13">
      <c r="AD243" s="3"/>
      <c r="AE243" s="3"/>
    </row>
    <row r="244" spans="30:31" ht="13">
      <c r="AD244" s="3"/>
      <c r="AE244" s="3"/>
    </row>
    <row r="245" spans="30:31" ht="13">
      <c r="AD245" s="3"/>
      <c r="AE245" s="3"/>
    </row>
    <row r="246" spans="30:31" ht="13">
      <c r="AD246" s="3"/>
      <c r="AE246" s="3"/>
    </row>
    <row r="247" spans="30:31" ht="13">
      <c r="AD247" s="3"/>
      <c r="AE247" s="3"/>
    </row>
    <row r="248" spans="30:31" ht="13">
      <c r="AD248" s="3"/>
      <c r="AE248" s="3"/>
    </row>
    <row r="249" spans="30:31" ht="13">
      <c r="AD249" s="3"/>
      <c r="AE249" s="3"/>
    </row>
    <row r="250" spans="30:31" ht="13">
      <c r="AD250" s="3"/>
      <c r="AE250" s="3"/>
    </row>
    <row r="251" spans="30:31" ht="13">
      <c r="AD251" s="3"/>
      <c r="AE251" s="3"/>
    </row>
    <row r="252" spans="30:31" ht="13">
      <c r="AD252" s="3"/>
      <c r="AE252" s="3"/>
    </row>
    <row r="253" spans="30:31" ht="13">
      <c r="AD253" s="3"/>
      <c r="AE253" s="3"/>
    </row>
    <row r="254" spans="30:31" ht="13">
      <c r="AD254" s="3"/>
      <c r="AE254" s="3"/>
    </row>
    <row r="255" spans="30:31" ht="13">
      <c r="AD255" s="3"/>
      <c r="AE255" s="3"/>
    </row>
    <row r="256" spans="30:31" ht="13">
      <c r="AD256" s="3"/>
      <c r="AE256" s="3"/>
    </row>
    <row r="257" spans="30:31" ht="13">
      <c r="AD257" s="3"/>
      <c r="AE257" s="3"/>
    </row>
    <row r="258" spans="30:31" ht="13">
      <c r="AD258" s="3"/>
      <c r="AE258" s="3"/>
    </row>
    <row r="259" spans="30:31" ht="13">
      <c r="AD259" s="3"/>
      <c r="AE259" s="3"/>
    </row>
    <row r="260" spans="30:31" ht="13">
      <c r="AD260" s="3"/>
      <c r="AE260" s="3"/>
    </row>
    <row r="261" spans="30:31" ht="13">
      <c r="AD261" s="3"/>
      <c r="AE261" s="3"/>
    </row>
    <row r="262" spans="30:31" ht="13">
      <c r="AD262" s="3"/>
      <c r="AE262" s="3"/>
    </row>
    <row r="263" spans="30:31" ht="13">
      <c r="AD263" s="3"/>
      <c r="AE263" s="3"/>
    </row>
    <row r="264" spans="30:31" ht="13">
      <c r="AD264" s="3"/>
      <c r="AE264" s="3"/>
    </row>
    <row r="265" spans="30:31" ht="13">
      <c r="AD265" s="3"/>
      <c r="AE265" s="3"/>
    </row>
    <row r="266" spans="30:31" ht="13">
      <c r="AD266" s="3"/>
      <c r="AE266" s="3"/>
    </row>
    <row r="267" spans="30:31" ht="13">
      <c r="AD267" s="3"/>
      <c r="AE267" s="3"/>
    </row>
    <row r="268" spans="30:31" ht="13">
      <c r="AD268" s="3"/>
      <c r="AE268" s="3"/>
    </row>
    <row r="269" spans="30:31" ht="13">
      <c r="AD269" s="3"/>
      <c r="AE269" s="3"/>
    </row>
    <row r="270" spans="30:31" ht="13">
      <c r="AD270" s="3"/>
      <c r="AE270" s="3"/>
    </row>
    <row r="271" spans="30:31" ht="13">
      <c r="AD271" s="3"/>
      <c r="AE271" s="3"/>
    </row>
    <row r="272" spans="30:31" ht="13">
      <c r="AD272" s="3"/>
      <c r="AE272" s="3"/>
    </row>
    <row r="273" spans="30:31" ht="13">
      <c r="AD273" s="3"/>
      <c r="AE273" s="3"/>
    </row>
    <row r="274" spans="30:31" ht="13">
      <c r="AD274" s="3"/>
      <c r="AE274" s="3"/>
    </row>
    <row r="275" spans="30:31" ht="13">
      <c r="AD275" s="3"/>
      <c r="AE275" s="3"/>
    </row>
    <row r="276" spans="30:31" ht="13">
      <c r="AD276" s="3"/>
      <c r="AE276" s="3"/>
    </row>
    <row r="277" spans="30:31" ht="13">
      <c r="AD277" s="3"/>
      <c r="AE277" s="3"/>
    </row>
    <row r="278" spans="30:31" ht="13">
      <c r="AD278" s="3"/>
      <c r="AE278" s="3"/>
    </row>
    <row r="279" spans="30:31" ht="13">
      <c r="AD279" s="3"/>
      <c r="AE279" s="3"/>
    </row>
    <row r="280" spans="30:31" ht="13">
      <c r="AD280" s="3"/>
      <c r="AE280" s="3"/>
    </row>
    <row r="281" spans="30:31" ht="13">
      <c r="AD281" s="3"/>
      <c r="AE281" s="3"/>
    </row>
    <row r="282" spans="30:31" ht="13">
      <c r="AD282" s="3"/>
      <c r="AE282" s="3"/>
    </row>
    <row r="283" spans="30:31" ht="13">
      <c r="AD283" s="3"/>
      <c r="AE283" s="3"/>
    </row>
    <row r="284" spans="30:31" ht="13">
      <c r="AD284" s="3"/>
      <c r="AE284" s="3"/>
    </row>
    <row r="285" spans="30:31" ht="13">
      <c r="AD285" s="3"/>
      <c r="AE285" s="3"/>
    </row>
    <row r="286" spans="30:31" ht="13">
      <c r="AD286" s="3"/>
      <c r="AE286" s="3"/>
    </row>
    <row r="287" spans="30:31" ht="13">
      <c r="AD287" s="3"/>
      <c r="AE287" s="3"/>
    </row>
    <row r="288" spans="30:31" ht="13">
      <c r="AD288" s="3"/>
      <c r="AE288" s="3"/>
    </row>
    <row r="289" spans="30:31" ht="13">
      <c r="AD289" s="3"/>
      <c r="AE289" s="3"/>
    </row>
    <row r="290" spans="30:31" ht="13">
      <c r="AD290" s="3"/>
      <c r="AE290" s="3"/>
    </row>
    <row r="291" spans="30:31" ht="13">
      <c r="AD291" s="3"/>
      <c r="AE291" s="3"/>
    </row>
    <row r="292" spans="30:31" ht="13">
      <c r="AD292" s="3"/>
      <c r="AE292" s="3"/>
    </row>
    <row r="293" spans="30:31" ht="13">
      <c r="AD293" s="3"/>
      <c r="AE293" s="3"/>
    </row>
    <row r="294" spans="30:31" ht="13">
      <c r="AD294" s="3"/>
      <c r="AE294" s="3"/>
    </row>
    <row r="295" spans="30:31" ht="13">
      <c r="AD295" s="3"/>
      <c r="AE295" s="3"/>
    </row>
    <row r="296" spans="30:31" ht="13">
      <c r="AD296" s="3"/>
      <c r="AE296" s="3"/>
    </row>
    <row r="297" spans="30:31" ht="13">
      <c r="AD297" s="3"/>
      <c r="AE297" s="3"/>
    </row>
    <row r="298" spans="30:31" ht="13">
      <c r="AD298" s="3"/>
      <c r="AE298" s="3"/>
    </row>
    <row r="299" spans="30:31" ht="13">
      <c r="AD299" s="3"/>
      <c r="AE299" s="3"/>
    </row>
    <row r="300" spans="30:31" ht="13">
      <c r="AD300" s="3"/>
      <c r="AE300" s="3"/>
    </row>
    <row r="301" spans="30:31" ht="13">
      <c r="AD301" s="3"/>
      <c r="AE301" s="3"/>
    </row>
    <row r="302" spans="30:31" ht="13">
      <c r="AD302" s="3"/>
      <c r="AE302" s="3"/>
    </row>
    <row r="303" spans="30:31" ht="13">
      <c r="AD303" s="3"/>
      <c r="AE303" s="3"/>
    </row>
    <row r="304" spans="30:31" ht="13">
      <c r="AD304" s="3"/>
      <c r="AE304" s="3"/>
    </row>
    <row r="305" spans="30:31" ht="13">
      <c r="AD305" s="3"/>
      <c r="AE305" s="3"/>
    </row>
    <row r="306" spans="30:31" ht="13">
      <c r="AD306" s="3"/>
      <c r="AE306" s="3"/>
    </row>
    <row r="307" spans="30:31" ht="13">
      <c r="AD307" s="3"/>
      <c r="AE307" s="3"/>
    </row>
    <row r="308" spans="30:31" ht="13">
      <c r="AD308" s="3"/>
      <c r="AE308" s="3"/>
    </row>
    <row r="309" spans="30:31" ht="13">
      <c r="AD309" s="3"/>
      <c r="AE309" s="3"/>
    </row>
    <row r="310" spans="30:31" ht="13">
      <c r="AD310" s="3"/>
      <c r="AE310" s="3"/>
    </row>
    <row r="311" spans="30:31" ht="13">
      <c r="AD311" s="3"/>
      <c r="AE311" s="3"/>
    </row>
    <row r="312" spans="30:31" ht="13">
      <c r="AD312" s="3"/>
      <c r="AE312" s="3"/>
    </row>
    <row r="313" spans="30:31" ht="13">
      <c r="AD313" s="3"/>
      <c r="AE313" s="3"/>
    </row>
    <row r="314" spans="30:31" ht="13">
      <c r="AD314" s="3"/>
      <c r="AE314" s="3"/>
    </row>
    <row r="315" spans="30:31" ht="13">
      <c r="AD315" s="3"/>
      <c r="AE315" s="3"/>
    </row>
    <row r="316" spans="30:31" ht="13">
      <c r="AD316" s="3"/>
      <c r="AE316" s="3"/>
    </row>
    <row r="317" spans="30:31" ht="13">
      <c r="AD317" s="3"/>
      <c r="AE317" s="3"/>
    </row>
    <row r="318" spans="30:31" ht="13">
      <c r="AD318" s="3"/>
      <c r="AE318" s="3"/>
    </row>
    <row r="319" spans="30:31" ht="13">
      <c r="AD319" s="3"/>
      <c r="AE319" s="3"/>
    </row>
    <row r="320" spans="30:31" ht="13">
      <c r="AD320" s="3"/>
      <c r="AE320" s="3"/>
    </row>
    <row r="321" spans="30:31" ht="13">
      <c r="AD321" s="3"/>
      <c r="AE321" s="3"/>
    </row>
    <row r="322" spans="30:31" ht="13">
      <c r="AD322" s="3"/>
      <c r="AE322" s="3"/>
    </row>
    <row r="323" spans="30:31" ht="13">
      <c r="AD323" s="3"/>
      <c r="AE323" s="3"/>
    </row>
    <row r="324" spans="30:31" ht="13">
      <c r="AD324" s="3"/>
      <c r="AE324" s="3"/>
    </row>
    <row r="325" spans="30:31" ht="13">
      <c r="AD325" s="3"/>
      <c r="AE325" s="3"/>
    </row>
    <row r="326" spans="30:31" ht="13">
      <c r="AD326" s="3"/>
      <c r="AE326" s="3"/>
    </row>
    <row r="327" spans="30:31" ht="13">
      <c r="AD327" s="3"/>
      <c r="AE327" s="3"/>
    </row>
    <row r="328" spans="30:31" ht="13">
      <c r="AD328" s="3"/>
      <c r="AE328" s="3"/>
    </row>
    <row r="329" spans="30:31" ht="13">
      <c r="AD329" s="3"/>
      <c r="AE329" s="3"/>
    </row>
    <row r="330" spans="30:31" ht="13">
      <c r="AD330" s="3"/>
      <c r="AE330" s="3"/>
    </row>
    <row r="331" spans="30:31" ht="13">
      <c r="AD331" s="3"/>
      <c r="AE331" s="3"/>
    </row>
    <row r="332" spans="30:31" ht="13">
      <c r="AD332" s="3"/>
      <c r="AE332" s="3"/>
    </row>
    <row r="333" spans="30:31" ht="13">
      <c r="AD333" s="3"/>
      <c r="AE333" s="3"/>
    </row>
    <row r="334" spans="30:31" ht="13">
      <c r="AD334" s="3"/>
      <c r="AE334" s="3"/>
    </row>
    <row r="335" spans="30:31" ht="13">
      <c r="AD335" s="3"/>
      <c r="AE335" s="3"/>
    </row>
    <row r="336" spans="30:31" ht="13">
      <c r="AD336" s="3"/>
      <c r="AE336" s="3"/>
    </row>
    <row r="337" spans="30:31" ht="13">
      <c r="AD337" s="3"/>
      <c r="AE337" s="3"/>
    </row>
    <row r="338" spans="30:31" ht="13">
      <c r="AD338" s="3"/>
      <c r="AE338" s="3"/>
    </row>
    <row r="339" spans="30:31" ht="13">
      <c r="AD339" s="3"/>
      <c r="AE339" s="3"/>
    </row>
    <row r="340" spans="30:31" ht="13">
      <c r="AD340" s="3"/>
      <c r="AE340" s="3"/>
    </row>
    <row r="341" spans="30:31" ht="13">
      <c r="AD341" s="3"/>
      <c r="AE341" s="3"/>
    </row>
    <row r="342" spans="30:31" ht="13">
      <c r="AD342" s="3"/>
      <c r="AE342" s="3"/>
    </row>
    <row r="343" spans="30:31" ht="13">
      <c r="AD343" s="3"/>
      <c r="AE343" s="3"/>
    </row>
    <row r="344" spans="30:31" ht="13">
      <c r="AD344" s="3"/>
      <c r="AE344" s="3"/>
    </row>
    <row r="345" spans="30:31" ht="13">
      <c r="AD345" s="3"/>
      <c r="AE345" s="3"/>
    </row>
    <row r="346" spans="30:31" ht="13">
      <c r="AD346" s="3"/>
      <c r="AE346" s="3"/>
    </row>
    <row r="347" spans="30:31" ht="13">
      <c r="AD347" s="3"/>
      <c r="AE347" s="3"/>
    </row>
    <row r="348" spans="30:31" ht="13">
      <c r="AD348" s="3"/>
      <c r="AE348" s="3"/>
    </row>
    <row r="349" spans="30:31" ht="13">
      <c r="AD349" s="3"/>
      <c r="AE349" s="3"/>
    </row>
    <row r="350" spans="30:31" ht="13">
      <c r="AD350" s="3"/>
      <c r="AE350" s="3"/>
    </row>
    <row r="351" spans="30:31" ht="13">
      <c r="AD351" s="3"/>
      <c r="AE351" s="3"/>
    </row>
    <row r="352" spans="30:31" ht="13">
      <c r="AD352" s="3"/>
      <c r="AE352" s="3"/>
    </row>
    <row r="353" spans="30:31" ht="13">
      <c r="AD353" s="3"/>
      <c r="AE353" s="3"/>
    </row>
    <row r="354" spans="30:31" ht="13">
      <c r="AD354" s="3"/>
      <c r="AE354" s="3"/>
    </row>
    <row r="355" spans="30:31" ht="13">
      <c r="AD355" s="3"/>
      <c r="AE355" s="3"/>
    </row>
    <row r="356" spans="30:31" ht="13">
      <c r="AD356" s="3"/>
      <c r="AE356" s="3"/>
    </row>
    <row r="357" spans="30:31" ht="13">
      <c r="AD357" s="3"/>
      <c r="AE357" s="3"/>
    </row>
    <row r="358" spans="30:31" ht="13">
      <c r="AD358" s="3"/>
      <c r="AE358" s="3"/>
    </row>
    <row r="359" spans="30:31" ht="13">
      <c r="AD359" s="3"/>
      <c r="AE359" s="3"/>
    </row>
    <row r="360" spans="30:31" ht="13">
      <c r="AD360" s="3"/>
      <c r="AE360" s="3"/>
    </row>
    <row r="361" spans="30:31" ht="13">
      <c r="AD361" s="3"/>
      <c r="AE361" s="3"/>
    </row>
    <row r="362" spans="30:31" ht="13">
      <c r="AD362" s="3"/>
      <c r="AE362" s="3"/>
    </row>
    <row r="363" spans="30:31" ht="13">
      <c r="AD363" s="3"/>
      <c r="AE363" s="3"/>
    </row>
    <row r="364" spans="30:31" ht="13">
      <c r="AD364" s="3"/>
      <c r="AE364" s="3"/>
    </row>
    <row r="365" spans="30:31" ht="13">
      <c r="AD365" s="3"/>
      <c r="AE365" s="3"/>
    </row>
    <row r="366" spans="30:31" ht="13">
      <c r="AD366" s="3"/>
      <c r="AE366" s="3"/>
    </row>
    <row r="367" spans="30:31" ht="13">
      <c r="AD367" s="3"/>
      <c r="AE367" s="3"/>
    </row>
    <row r="368" spans="30:31" ht="13">
      <c r="AD368" s="3"/>
      <c r="AE368" s="3"/>
    </row>
    <row r="369" spans="30:31" ht="13">
      <c r="AD369" s="3"/>
      <c r="AE369" s="3"/>
    </row>
    <row r="370" spans="30:31" ht="13">
      <c r="AD370" s="3"/>
      <c r="AE370" s="3"/>
    </row>
    <row r="371" spans="30:31" ht="13">
      <c r="AD371" s="3"/>
      <c r="AE371" s="3"/>
    </row>
    <row r="372" spans="30:31" ht="13">
      <c r="AD372" s="3"/>
      <c r="AE372" s="3"/>
    </row>
    <row r="373" spans="30:31" ht="13">
      <c r="AD373" s="3"/>
      <c r="AE373" s="3"/>
    </row>
    <row r="374" spans="30:31" ht="13">
      <c r="AD374" s="3"/>
      <c r="AE374" s="3"/>
    </row>
    <row r="375" spans="30:31" ht="13">
      <c r="AD375" s="3"/>
      <c r="AE375" s="3"/>
    </row>
    <row r="376" spans="30:31" ht="13">
      <c r="AD376" s="3"/>
      <c r="AE376" s="3"/>
    </row>
    <row r="377" spans="30:31" ht="13">
      <c r="AD377" s="3"/>
      <c r="AE377" s="3"/>
    </row>
    <row r="378" spans="30:31" ht="13">
      <c r="AD378" s="3"/>
      <c r="AE378" s="3"/>
    </row>
    <row r="379" spans="30:31" ht="13">
      <c r="AD379" s="3"/>
      <c r="AE379" s="3"/>
    </row>
    <row r="380" spans="30:31" ht="13">
      <c r="AD380" s="3"/>
      <c r="AE380" s="3"/>
    </row>
    <row r="381" spans="30:31" ht="13">
      <c r="AD381" s="3"/>
      <c r="AE381" s="3"/>
    </row>
    <row r="382" spans="30:31" ht="13">
      <c r="AD382" s="3"/>
      <c r="AE382" s="3"/>
    </row>
    <row r="383" spans="30:31" ht="13">
      <c r="AD383" s="3"/>
      <c r="AE383" s="3"/>
    </row>
    <row r="384" spans="30:31" ht="13">
      <c r="AD384" s="3"/>
      <c r="AE384" s="3"/>
    </row>
    <row r="385" spans="30:31" ht="13">
      <c r="AD385" s="3"/>
      <c r="AE385" s="3"/>
    </row>
    <row r="386" spans="30:31" ht="13">
      <c r="AD386" s="3"/>
      <c r="AE386" s="3"/>
    </row>
    <row r="387" spans="30:31" ht="13">
      <c r="AD387" s="3"/>
      <c r="AE387" s="3"/>
    </row>
    <row r="388" spans="30:31" ht="13">
      <c r="AD388" s="3"/>
      <c r="AE388" s="3"/>
    </row>
    <row r="389" spans="30:31" ht="13">
      <c r="AD389" s="3"/>
      <c r="AE389" s="3"/>
    </row>
    <row r="390" spans="30:31" ht="13">
      <c r="AD390" s="3"/>
      <c r="AE390" s="3"/>
    </row>
    <row r="391" spans="30:31" ht="13">
      <c r="AD391" s="3"/>
      <c r="AE391" s="3"/>
    </row>
    <row r="392" spans="30:31" ht="13">
      <c r="AD392" s="3"/>
      <c r="AE392" s="3"/>
    </row>
    <row r="393" spans="30:31" ht="13">
      <c r="AD393" s="3"/>
      <c r="AE393" s="3"/>
    </row>
    <row r="394" spans="30:31" ht="13">
      <c r="AD394" s="3"/>
      <c r="AE394" s="3"/>
    </row>
    <row r="395" spans="30:31" ht="13">
      <c r="AD395" s="3"/>
      <c r="AE395" s="3"/>
    </row>
    <row r="396" spans="30:31" ht="13">
      <c r="AD396" s="3"/>
      <c r="AE396" s="3"/>
    </row>
    <row r="397" spans="30:31" ht="13">
      <c r="AD397" s="3"/>
      <c r="AE397" s="3"/>
    </row>
    <row r="398" spans="30:31" ht="13">
      <c r="AD398" s="3"/>
      <c r="AE398" s="3"/>
    </row>
    <row r="399" spans="30:31" ht="13">
      <c r="AD399" s="3"/>
      <c r="AE399" s="3"/>
    </row>
    <row r="400" spans="30:31" ht="13">
      <c r="AD400" s="3"/>
      <c r="AE400" s="3"/>
    </row>
    <row r="401" spans="30:31" ht="13">
      <c r="AD401" s="3"/>
      <c r="AE401" s="3"/>
    </row>
    <row r="402" spans="30:31" ht="13">
      <c r="AD402" s="3"/>
      <c r="AE402" s="3"/>
    </row>
    <row r="403" spans="30:31" ht="13">
      <c r="AD403" s="3"/>
      <c r="AE403" s="3"/>
    </row>
    <row r="404" spans="30:31" ht="13">
      <c r="AD404" s="3"/>
      <c r="AE404" s="3"/>
    </row>
    <row r="405" spans="30:31" ht="13">
      <c r="AD405" s="3"/>
      <c r="AE405" s="3"/>
    </row>
    <row r="406" spans="30:31" ht="13">
      <c r="AD406" s="3"/>
      <c r="AE406" s="3"/>
    </row>
    <row r="407" spans="30:31" ht="13">
      <c r="AD407" s="3"/>
      <c r="AE407" s="3"/>
    </row>
    <row r="408" spans="30:31" ht="13">
      <c r="AD408" s="3"/>
      <c r="AE408" s="3"/>
    </row>
    <row r="409" spans="30:31" ht="13">
      <c r="AD409" s="3"/>
      <c r="AE409" s="3"/>
    </row>
    <row r="410" spans="30:31" ht="13">
      <c r="AD410" s="3"/>
      <c r="AE410" s="3"/>
    </row>
    <row r="411" spans="30:31" ht="13">
      <c r="AD411" s="3"/>
      <c r="AE411" s="3"/>
    </row>
    <row r="412" spans="30:31" ht="13">
      <c r="AD412" s="3"/>
      <c r="AE412" s="3"/>
    </row>
    <row r="413" spans="30:31" ht="13">
      <c r="AD413" s="3"/>
      <c r="AE413" s="3"/>
    </row>
    <row r="414" spans="30:31" ht="13">
      <c r="AD414" s="3"/>
      <c r="AE414" s="3"/>
    </row>
    <row r="415" spans="30:31" ht="13">
      <c r="AD415" s="3"/>
      <c r="AE415" s="3"/>
    </row>
    <row r="416" spans="30:31" ht="13">
      <c r="AD416" s="3"/>
      <c r="AE416" s="3"/>
    </row>
    <row r="417" spans="30:31" ht="13">
      <c r="AD417" s="3"/>
      <c r="AE417" s="3"/>
    </row>
    <row r="418" spans="30:31" ht="13">
      <c r="AD418" s="3"/>
      <c r="AE418" s="3"/>
    </row>
    <row r="419" spans="30:31" ht="13">
      <c r="AD419" s="3"/>
      <c r="AE419" s="3"/>
    </row>
    <row r="420" spans="30:31" ht="13">
      <c r="AD420" s="3"/>
      <c r="AE420" s="3"/>
    </row>
    <row r="421" spans="30:31" ht="13">
      <c r="AD421" s="3"/>
      <c r="AE421" s="3"/>
    </row>
    <row r="422" spans="30:31" ht="13">
      <c r="AD422" s="3"/>
      <c r="AE422" s="3"/>
    </row>
    <row r="423" spans="30:31" ht="13">
      <c r="AD423" s="3"/>
      <c r="AE423" s="3"/>
    </row>
    <row r="424" spans="30:31" ht="13">
      <c r="AD424" s="3"/>
      <c r="AE424" s="3"/>
    </row>
    <row r="425" spans="30:31" ht="13">
      <c r="AD425" s="3"/>
      <c r="AE425" s="3"/>
    </row>
    <row r="426" spans="30:31" ht="13">
      <c r="AD426" s="3"/>
      <c r="AE426" s="3"/>
    </row>
    <row r="427" spans="30:31" ht="13">
      <c r="AD427" s="3"/>
      <c r="AE427" s="3"/>
    </row>
    <row r="428" spans="30:31" ht="13">
      <c r="AD428" s="3"/>
      <c r="AE428" s="3"/>
    </row>
    <row r="429" spans="30:31" ht="13">
      <c r="AD429" s="3"/>
      <c r="AE429" s="3"/>
    </row>
    <row r="430" spans="30:31" ht="13">
      <c r="AD430" s="3"/>
      <c r="AE430" s="3"/>
    </row>
    <row r="431" spans="30:31" ht="13">
      <c r="AD431" s="3"/>
      <c r="AE431" s="3"/>
    </row>
    <row r="432" spans="30:31" ht="13">
      <c r="AD432" s="3"/>
      <c r="AE432" s="3"/>
    </row>
    <row r="433" spans="30:31" ht="13">
      <c r="AD433" s="3"/>
      <c r="AE433" s="3"/>
    </row>
    <row r="434" spans="30:31" ht="13">
      <c r="AD434" s="3"/>
      <c r="AE434" s="3"/>
    </row>
    <row r="435" spans="30:31" ht="13">
      <c r="AD435" s="3"/>
      <c r="AE435" s="3"/>
    </row>
    <row r="436" spans="30:31" ht="13">
      <c r="AD436" s="3"/>
      <c r="AE436" s="3"/>
    </row>
    <row r="437" spans="30:31" ht="13">
      <c r="AD437" s="3"/>
      <c r="AE437" s="3"/>
    </row>
    <row r="438" spans="30:31" ht="13">
      <c r="AD438" s="3"/>
      <c r="AE438" s="3"/>
    </row>
    <row r="439" spans="30:31" ht="13">
      <c r="AD439" s="3"/>
      <c r="AE439" s="3"/>
    </row>
    <row r="440" spans="30:31" ht="13">
      <c r="AD440" s="3"/>
      <c r="AE440" s="3"/>
    </row>
    <row r="441" spans="30:31" ht="13">
      <c r="AD441" s="3"/>
      <c r="AE441" s="3"/>
    </row>
    <row r="442" spans="30:31" ht="13">
      <c r="AD442" s="3"/>
      <c r="AE442" s="3"/>
    </row>
    <row r="443" spans="30:31" ht="13">
      <c r="AD443" s="3"/>
      <c r="AE443" s="3"/>
    </row>
    <row r="444" spans="30:31" ht="13">
      <c r="AD444" s="3"/>
      <c r="AE444" s="3"/>
    </row>
    <row r="445" spans="30:31" ht="13">
      <c r="AD445" s="3"/>
      <c r="AE445" s="3"/>
    </row>
    <row r="446" spans="30:31" ht="13">
      <c r="AD446" s="3"/>
      <c r="AE446" s="3"/>
    </row>
    <row r="447" spans="30:31" ht="13">
      <c r="AD447" s="3"/>
      <c r="AE447" s="3"/>
    </row>
    <row r="448" spans="30:31" ht="13">
      <c r="AD448" s="3"/>
      <c r="AE448" s="3"/>
    </row>
    <row r="449" spans="30:31" ht="13">
      <c r="AD449" s="3"/>
      <c r="AE449" s="3"/>
    </row>
    <row r="450" spans="30:31" ht="13">
      <c r="AD450" s="3"/>
      <c r="AE450" s="3"/>
    </row>
    <row r="451" spans="30:31" ht="13">
      <c r="AD451" s="3"/>
      <c r="AE451" s="3"/>
    </row>
    <row r="452" spans="30:31" ht="13">
      <c r="AD452" s="3"/>
      <c r="AE452" s="3"/>
    </row>
    <row r="453" spans="30:31" ht="13">
      <c r="AD453" s="3"/>
      <c r="AE453" s="3"/>
    </row>
    <row r="454" spans="30:31" ht="13">
      <c r="AD454" s="3"/>
      <c r="AE454" s="3"/>
    </row>
    <row r="455" spans="30:31" ht="13">
      <c r="AD455" s="3"/>
      <c r="AE455" s="3"/>
    </row>
    <row r="456" spans="30:31" ht="13">
      <c r="AD456" s="3"/>
      <c r="AE456" s="3"/>
    </row>
    <row r="457" spans="30:31" ht="13">
      <c r="AD457" s="3"/>
      <c r="AE457" s="3"/>
    </row>
    <row r="458" spans="30:31" ht="13">
      <c r="AD458" s="3"/>
      <c r="AE458" s="3"/>
    </row>
    <row r="459" spans="30:31" ht="13">
      <c r="AD459" s="3"/>
      <c r="AE459" s="3"/>
    </row>
    <row r="460" spans="30:31" ht="13">
      <c r="AD460" s="3"/>
      <c r="AE460" s="3"/>
    </row>
    <row r="461" spans="30:31" ht="13">
      <c r="AD461" s="3"/>
      <c r="AE461" s="3"/>
    </row>
    <row r="462" spans="30:31" ht="13">
      <c r="AD462" s="3"/>
      <c r="AE462" s="3"/>
    </row>
    <row r="463" spans="30:31" ht="13">
      <c r="AD463" s="3"/>
      <c r="AE463" s="3"/>
    </row>
    <row r="464" spans="30:31" ht="13">
      <c r="AD464" s="3"/>
      <c r="AE464" s="3"/>
    </row>
    <row r="465" spans="30:31" ht="13">
      <c r="AD465" s="3"/>
      <c r="AE465" s="3"/>
    </row>
    <row r="466" spans="30:31" ht="13">
      <c r="AD466" s="3"/>
      <c r="AE466" s="3"/>
    </row>
    <row r="467" spans="30:31" ht="13">
      <c r="AD467" s="3"/>
      <c r="AE467" s="3"/>
    </row>
    <row r="468" spans="30:31" ht="13">
      <c r="AD468" s="3"/>
      <c r="AE468" s="3"/>
    </row>
    <row r="469" spans="30:31" ht="13">
      <c r="AD469" s="3"/>
      <c r="AE469" s="3"/>
    </row>
    <row r="470" spans="30:31" ht="13">
      <c r="AD470" s="3"/>
      <c r="AE470" s="3"/>
    </row>
    <row r="471" spans="30:31" ht="13">
      <c r="AD471" s="3"/>
      <c r="AE471" s="3"/>
    </row>
    <row r="472" spans="30:31" ht="13">
      <c r="AD472" s="3"/>
      <c r="AE472" s="3"/>
    </row>
    <row r="473" spans="30:31" ht="13">
      <c r="AD473" s="3"/>
      <c r="AE473" s="3"/>
    </row>
    <row r="474" spans="30:31" ht="13">
      <c r="AD474" s="3"/>
      <c r="AE474" s="3"/>
    </row>
    <row r="475" spans="30:31" ht="13">
      <c r="AD475" s="3"/>
      <c r="AE475" s="3"/>
    </row>
    <row r="476" spans="30:31" ht="13">
      <c r="AD476" s="3"/>
      <c r="AE476" s="3"/>
    </row>
    <row r="477" spans="30:31" ht="13">
      <c r="AD477" s="3"/>
      <c r="AE477" s="3"/>
    </row>
    <row r="478" spans="30:31" ht="13">
      <c r="AD478" s="3"/>
      <c r="AE478" s="3"/>
    </row>
    <row r="479" spans="30:31" ht="13">
      <c r="AD479" s="3"/>
      <c r="AE479" s="3"/>
    </row>
    <row r="480" spans="30:31" ht="13">
      <c r="AD480" s="3"/>
      <c r="AE480" s="3"/>
    </row>
    <row r="481" spans="30:31" ht="13">
      <c r="AD481" s="3"/>
      <c r="AE481" s="3"/>
    </row>
    <row r="482" spans="30:31" ht="13">
      <c r="AD482" s="3"/>
      <c r="AE482" s="3"/>
    </row>
    <row r="483" spans="30:31" ht="13">
      <c r="AD483" s="3"/>
      <c r="AE483" s="3"/>
    </row>
    <row r="484" spans="30:31" ht="13">
      <c r="AD484" s="3"/>
      <c r="AE484" s="3"/>
    </row>
    <row r="485" spans="30:31" ht="13">
      <c r="AD485" s="3"/>
      <c r="AE485" s="3"/>
    </row>
    <row r="486" spans="30:31" ht="13">
      <c r="AD486" s="3"/>
      <c r="AE486" s="3"/>
    </row>
    <row r="487" spans="30:31" ht="13">
      <c r="AD487" s="3"/>
      <c r="AE487" s="3"/>
    </row>
    <row r="488" spans="30:31" ht="13">
      <c r="AD488" s="3"/>
      <c r="AE488" s="3"/>
    </row>
    <row r="489" spans="30:31" ht="13">
      <c r="AD489" s="3"/>
      <c r="AE489" s="3"/>
    </row>
    <row r="490" spans="30:31" ht="13">
      <c r="AD490" s="3"/>
      <c r="AE490" s="3"/>
    </row>
    <row r="491" spans="30:31" ht="13">
      <c r="AD491" s="3"/>
      <c r="AE491" s="3"/>
    </row>
    <row r="492" spans="30:31" ht="13">
      <c r="AD492" s="3"/>
      <c r="AE492" s="3"/>
    </row>
    <row r="493" spans="30:31" ht="13">
      <c r="AD493" s="3"/>
      <c r="AE493" s="3"/>
    </row>
    <row r="494" spans="30:31" ht="13">
      <c r="AD494" s="3"/>
      <c r="AE494" s="3"/>
    </row>
    <row r="495" spans="30:31" ht="13">
      <c r="AD495" s="3"/>
      <c r="AE495" s="3"/>
    </row>
    <row r="496" spans="30:31" ht="13">
      <c r="AD496" s="3"/>
      <c r="AE496" s="3"/>
    </row>
    <row r="497" spans="30:31" ht="13">
      <c r="AD497" s="3"/>
      <c r="AE497" s="3"/>
    </row>
    <row r="498" spans="30:31" ht="13">
      <c r="AD498" s="3"/>
      <c r="AE498" s="3"/>
    </row>
    <row r="499" spans="30:31" ht="13">
      <c r="AD499" s="3"/>
      <c r="AE499" s="3"/>
    </row>
    <row r="500" spans="30:31" ht="13">
      <c r="AD500" s="3"/>
      <c r="AE500" s="3"/>
    </row>
    <row r="501" spans="30:31" ht="13">
      <c r="AD501" s="3"/>
      <c r="AE501" s="3"/>
    </row>
    <row r="502" spans="30:31" ht="13">
      <c r="AD502" s="3"/>
      <c r="AE502" s="3"/>
    </row>
    <row r="503" spans="30:31" ht="13">
      <c r="AD503" s="3"/>
      <c r="AE503" s="3"/>
    </row>
    <row r="504" spans="30:31" ht="13">
      <c r="AD504" s="3"/>
      <c r="AE504" s="3"/>
    </row>
    <row r="505" spans="30:31" ht="13">
      <c r="AD505" s="3"/>
      <c r="AE505" s="3"/>
    </row>
    <row r="506" spans="30:31" ht="13">
      <c r="AD506" s="3"/>
      <c r="AE506" s="3"/>
    </row>
    <row r="507" spans="30:31" ht="13">
      <c r="AD507" s="3"/>
      <c r="AE507" s="3"/>
    </row>
    <row r="508" spans="30:31" ht="13">
      <c r="AD508" s="3"/>
      <c r="AE508" s="3"/>
    </row>
    <row r="509" spans="30:31" ht="13">
      <c r="AD509" s="3"/>
      <c r="AE509" s="3"/>
    </row>
    <row r="510" spans="30:31" ht="13">
      <c r="AD510" s="3"/>
      <c r="AE510" s="3"/>
    </row>
    <row r="511" spans="30:31" ht="13">
      <c r="AD511" s="3"/>
      <c r="AE511" s="3"/>
    </row>
    <row r="512" spans="30:31" ht="13">
      <c r="AD512" s="3"/>
      <c r="AE512" s="3"/>
    </row>
    <row r="513" spans="30:31" ht="13">
      <c r="AD513" s="3"/>
      <c r="AE513" s="3"/>
    </row>
    <row r="514" spans="30:31" ht="13">
      <c r="AD514" s="3"/>
      <c r="AE514" s="3"/>
    </row>
    <row r="515" spans="30:31" ht="13">
      <c r="AD515" s="3"/>
      <c r="AE515" s="3"/>
    </row>
    <row r="516" spans="30:31" ht="13">
      <c r="AD516" s="3"/>
      <c r="AE516" s="3"/>
    </row>
    <row r="517" spans="30:31" ht="13">
      <c r="AD517" s="3"/>
      <c r="AE517" s="3"/>
    </row>
    <row r="518" spans="30:31" ht="13">
      <c r="AD518" s="3"/>
      <c r="AE518" s="3"/>
    </row>
    <row r="519" spans="30:31" ht="13">
      <c r="AD519" s="3"/>
      <c r="AE519" s="3"/>
    </row>
    <row r="520" spans="30:31" ht="13">
      <c r="AD520" s="3"/>
      <c r="AE520" s="3"/>
    </row>
    <row r="521" spans="30:31" ht="13">
      <c r="AD521" s="3"/>
      <c r="AE521" s="3"/>
    </row>
    <row r="522" spans="30:31" ht="13">
      <c r="AD522" s="3"/>
      <c r="AE522" s="3"/>
    </row>
    <row r="523" spans="30:31" ht="13">
      <c r="AD523" s="3"/>
      <c r="AE523" s="3"/>
    </row>
    <row r="524" spans="30:31" ht="13">
      <c r="AD524" s="3"/>
      <c r="AE524" s="3"/>
    </row>
    <row r="525" spans="30:31" ht="13">
      <c r="AD525" s="3"/>
      <c r="AE525" s="3"/>
    </row>
    <row r="526" spans="30:31" ht="13">
      <c r="AD526" s="3"/>
      <c r="AE526" s="3"/>
    </row>
    <row r="527" spans="30:31" ht="13">
      <c r="AD527" s="3"/>
      <c r="AE527" s="3"/>
    </row>
    <row r="528" spans="30:31" ht="13">
      <c r="AD528" s="3"/>
      <c r="AE528" s="3"/>
    </row>
    <row r="529" spans="30:31" ht="13">
      <c r="AD529" s="3"/>
      <c r="AE529" s="3"/>
    </row>
    <row r="530" spans="30:31" ht="13">
      <c r="AD530" s="3"/>
      <c r="AE530" s="3"/>
    </row>
    <row r="531" spans="30:31" ht="13">
      <c r="AD531" s="3"/>
      <c r="AE531" s="3"/>
    </row>
    <row r="532" spans="30:31" ht="13">
      <c r="AD532" s="3"/>
      <c r="AE532" s="3"/>
    </row>
    <row r="533" spans="30:31" ht="13">
      <c r="AD533" s="3"/>
      <c r="AE533" s="3"/>
    </row>
    <row r="534" spans="30:31" ht="13">
      <c r="AD534" s="3"/>
      <c r="AE534" s="3"/>
    </row>
    <row r="535" spans="30:31" ht="13">
      <c r="AD535" s="3"/>
      <c r="AE535" s="3"/>
    </row>
    <row r="536" spans="30:31" ht="13">
      <c r="AD536" s="3"/>
      <c r="AE536" s="3"/>
    </row>
    <row r="537" spans="30:31" ht="13">
      <c r="AD537" s="3"/>
      <c r="AE537" s="3"/>
    </row>
    <row r="538" spans="30:31" ht="13">
      <c r="AD538" s="3"/>
      <c r="AE538" s="3"/>
    </row>
    <row r="539" spans="30:31" ht="13">
      <c r="AD539" s="3"/>
      <c r="AE539" s="3"/>
    </row>
    <row r="540" spans="30:31" ht="13">
      <c r="AD540" s="3"/>
      <c r="AE540" s="3"/>
    </row>
    <row r="541" spans="30:31" ht="13">
      <c r="AD541" s="3"/>
      <c r="AE541" s="3"/>
    </row>
    <row r="542" spans="30:31" ht="13">
      <c r="AD542" s="3"/>
      <c r="AE542" s="3"/>
    </row>
    <row r="543" spans="30:31" ht="13">
      <c r="AD543" s="3"/>
      <c r="AE543" s="3"/>
    </row>
    <row r="544" spans="30:31" ht="13">
      <c r="AD544" s="3"/>
      <c r="AE544" s="3"/>
    </row>
    <row r="545" spans="30:31" ht="13">
      <c r="AD545" s="3"/>
      <c r="AE545" s="3"/>
    </row>
    <row r="546" spans="30:31" ht="13">
      <c r="AD546" s="3"/>
      <c r="AE546" s="3"/>
    </row>
    <row r="547" spans="30:31" ht="13">
      <c r="AD547" s="3"/>
      <c r="AE547" s="3"/>
    </row>
    <row r="548" spans="30:31" ht="13">
      <c r="AD548" s="3"/>
      <c r="AE548" s="3"/>
    </row>
    <row r="549" spans="30:31" ht="13">
      <c r="AD549" s="3"/>
      <c r="AE549" s="3"/>
    </row>
    <row r="550" spans="30:31" ht="13">
      <c r="AD550" s="3"/>
      <c r="AE550" s="3"/>
    </row>
    <row r="551" spans="30:31" ht="13">
      <c r="AD551" s="3"/>
      <c r="AE551" s="3"/>
    </row>
    <row r="552" spans="30:31" ht="13">
      <c r="AD552" s="3"/>
      <c r="AE552" s="3"/>
    </row>
    <row r="553" spans="30:31" ht="13">
      <c r="AD553" s="3"/>
      <c r="AE553" s="3"/>
    </row>
    <row r="554" spans="30:31" ht="13">
      <c r="AD554" s="3"/>
      <c r="AE554" s="3"/>
    </row>
    <row r="555" spans="30:31" ht="13">
      <c r="AD555" s="3"/>
      <c r="AE555" s="3"/>
    </row>
    <row r="556" spans="30:31" ht="13">
      <c r="AD556" s="3"/>
      <c r="AE556" s="3"/>
    </row>
    <row r="557" spans="30:31" ht="13">
      <c r="AD557" s="3"/>
      <c r="AE557" s="3"/>
    </row>
    <row r="558" spans="30:31" ht="13">
      <c r="AD558" s="3"/>
      <c r="AE558" s="3"/>
    </row>
    <row r="559" spans="30:31" ht="13">
      <c r="AD559" s="3"/>
      <c r="AE559" s="3"/>
    </row>
    <row r="560" spans="30:31" ht="13">
      <c r="AD560" s="3"/>
      <c r="AE560" s="3"/>
    </row>
    <row r="561" spans="30:31" ht="13">
      <c r="AD561" s="3"/>
      <c r="AE561" s="3"/>
    </row>
    <row r="562" spans="30:31" ht="13">
      <c r="AD562" s="3"/>
      <c r="AE562" s="3"/>
    </row>
    <row r="563" spans="30:31" ht="13">
      <c r="AD563" s="3"/>
      <c r="AE563" s="3"/>
    </row>
    <row r="564" spans="30:31" ht="13">
      <c r="AD564" s="3"/>
      <c r="AE564" s="3"/>
    </row>
    <row r="565" spans="30:31" ht="13">
      <c r="AD565" s="3"/>
      <c r="AE565" s="3"/>
    </row>
    <row r="566" spans="30:31" ht="13">
      <c r="AD566" s="3"/>
      <c r="AE566" s="3"/>
    </row>
    <row r="567" spans="30:31" ht="13">
      <c r="AD567" s="3"/>
      <c r="AE567" s="3"/>
    </row>
    <row r="568" spans="30:31" ht="13">
      <c r="AD568" s="3"/>
      <c r="AE568" s="3"/>
    </row>
    <row r="569" spans="30:31" ht="13">
      <c r="AD569" s="3"/>
      <c r="AE569" s="3"/>
    </row>
    <row r="570" spans="30:31" ht="13">
      <c r="AD570" s="3"/>
      <c r="AE570" s="3"/>
    </row>
    <row r="571" spans="30:31" ht="13">
      <c r="AD571" s="3"/>
      <c r="AE571" s="3"/>
    </row>
    <row r="572" spans="30:31" ht="13">
      <c r="AD572" s="3"/>
      <c r="AE572" s="3"/>
    </row>
    <row r="573" spans="30:31" ht="13">
      <c r="AD573" s="3"/>
      <c r="AE573" s="3"/>
    </row>
    <row r="574" spans="30:31" ht="13">
      <c r="AD574" s="3"/>
      <c r="AE574" s="3"/>
    </row>
    <row r="575" spans="30:31" ht="13">
      <c r="AD575" s="3"/>
      <c r="AE575" s="3"/>
    </row>
    <row r="576" spans="30:31" ht="13">
      <c r="AD576" s="3"/>
      <c r="AE576" s="3"/>
    </row>
    <row r="577" spans="30:31" ht="13">
      <c r="AD577" s="3"/>
      <c r="AE577" s="3"/>
    </row>
    <row r="578" spans="30:31" ht="13">
      <c r="AD578" s="3"/>
      <c r="AE578" s="3"/>
    </row>
    <row r="579" spans="30:31" ht="13">
      <c r="AD579" s="3"/>
      <c r="AE579" s="3"/>
    </row>
    <row r="580" spans="30:31" ht="13">
      <c r="AD580" s="3"/>
      <c r="AE580" s="3"/>
    </row>
    <row r="581" spans="30:31" ht="13">
      <c r="AD581" s="3"/>
      <c r="AE581" s="3"/>
    </row>
    <row r="582" spans="30:31" ht="13">
      <c r="AD582" s="3"/>
      <c r="AE582" s="3"/>
    </row>
    <row r="583" spans="30:31" ht="13">
      <c r="AD583" s="3"/>
      <c r="AE583" s="3"/>
    </row>
    <row r="584" spans="30:31" ht="13">
      <c r="AD584" s="3"/>
      <c r="AE584" s="3"/>
    </row>
    <row r="585" spans="30:31" ht="13">
      <c r="AD585" s="3"/>
      <c r="AE585" s="3"/>
    </row>
    <row r="586" spans="30:31" ht="13">
      <c r="AD586" s="3"/>
      <c r="AE586" s="3"/>
    </row>
    <row r="587" spans="30:31" ht="13">
      <c r="AD587" s="3"/>
      <c r="AE587" s="3"/>
    </row>
    <row r="588" spans="30:31" ht="13">
      <c r="AD588" s="3"/>
      <c r="AE588" s="3"/>
    </row>
    <row r="589" spans="30:31" ht="13">
      <c r="AD589" s="3"/>
      <c r="AE589" s="3"/>
    </row>
    <row r="590" spans="30:31" ht="13">
      <c r="AD590" s="3"/>
      <c r="AE590" s="3"/>
    </row>
    <row r="591" spans="30:31" ht="13">
      <c r="AD591" s="3"/>
      <c r="AE591" s="3"/>
    </row>
    <row r="592" spans="30:31" ht="13">
      <c r="AD592" s="3"/>
      <c r="AE592" s="3"/>
    </row>
    <row r="593" spans="30:31" ht="13">
      <c r="AD593" s="3"/>
      <c r="AE593" s="3"/>
    </row>
    <row r="594" spans="30:31" ht="13">
      <c r="AD594" s="3"/>
      <c r="AE594" s="3"/>
    </row>
    <row r="595" spans="30:31" ht="13">
      <c r="AD595" s="3"/>
      <c r="AE595" s="3"/>
    </row>
    <row r="596" spans="30:31" ht="13">
      <c r="AD596" s="3"/>
      <c r="AE596" s="3"/>
    </row>
    <row r="597" spans="30:31" ht="13">
      <c r="AD597" s="3"/>
      <c r="AE597" s="3"/>
    </row>
    <row r="598" spans="30:31" ht="13">
      <c r="AD598" s="3"/>
      <c r="AE598" s="3"/>
    </row>
    <row r="599" spans="30:31" ht="13">
      <c r="AD599" s="3"/>
      <c r="AE599" s="3"/>
    </row>
    <row r="600" spans="30:31" ht="13">
      <c r="AD600" s="3"/>
      <c r="AE600" s="3"/>
    </row>
    <row r="601" spans="30:31" ht="13">
      <c r="AD601" s="3"/>
      <c r="AE601" s="3"/>
    </row>
    <row r="602" spans="30:31" ht="13">
      <c r="AD602" s="3"/>
      <c r="AE602" s="3"/>
    </row>
    <row r="603" spans="30:31" ht="13">
      <c r="AD603" s="3"/>
      <c r="AE603" s="3"/>
    </row>
    <row r="604" spans="30:31" ht="13">
      <c r="AD604" s="3"/>
      <c r="AE604" s="3"/>
    </row>
    <row r="605" spans="30:31" ht="13">
      <c r="AD605" s="3"/>
      <c r="AE605" s="3"/>
    </row>
    <row r="606" spans="30:31" ht="13">
      <c r="AD606" s="3"/>
      <c r="AE606" s="3"/>
    </row>
    <row r="607" spans="30:31" ht="13">
      <c r="AD607" s="3"/>
      <c r="AE607" s="3"/>
    </row>
    <row r="608" spans="30:31" ht="13">
      <c r="AD608" s="3"/>
      <c r="AE608" s="3"/>
    </row>
    <row r="609" spans="30:31" ht="13">
      <c r="AD609" s="3"/>
      <c r="AE609" s="3"/>
    </row>
    <row r="610" spans="30:31" ht="13">
      <c r="AD610" s="3"/>
      <c r="AE610" s="3"/>
    </row>
    <row r="611" spans="30:31" ht="13">
      <c r="AD611" s="3"/>
      <c r="AE611" s="3"/>
    </row>
    <row r="612" spans="30:31" ht="13">
      <c r="AD612" s="3"/>
      <c r="AE612" s="3"/>
    </row>
    <row r="613" spans="30:31" ht="13">
      <c r="AD613" s="3"/>
      <c r="AE613" s="3"/>
    </row>
    <row r="614" spans="30:31" ht="13">
      <c r="AD614" s="3"/>
      <c r="AE614" s="3"/>
    </row>
    <row r="615" spans="30:31" ht="13">
      <c r="AD615" s="3"/>
      <c r="AE615" s="3"/>
    </row>
    <row r="616" spans="30:31" ht="13">
      <c r="AD616" s="3"/>
      <c r="AE616" s="3"/>
    </row>
    <row r="617" spans="30:31" ht="13">
      <c r="AD617" s="3"/>
      <c r="AE617" s="3"/>
    </row>
    <row r="618" spans="30:31" ht="13">
      <c r="AD618" s="3"/>
      <c r="AE618" s="3"/>
    </row>
    <row r="619" spans="30:31" ht="13">
      <c r="AD619" s="3"/>
      <c r="AE619" s="3"/>
    </row>
    <row r="620" spans="30:31" ht="13">
      <c r="AD620" s="3"/>
      <c r="AE620" s="3"/>
    </row>
    <row r="621" spans="30:31" ht="13">
      <c r="AD621" s="3"/>
      <c r="AE621" s="3"/>
    </row>
    <row r="622" spans="30:31" ht="13">
      <c r="AD622" s="3"/>
      <c r="AE622" s="3"/>
    </row>
    <row r="623" spans="30:31" ht="13">
      <c r="AD623" s="3"/>
      <c r="AE623" s="3"/>
    </row>
    <row r="624" spans="30:31" ht="13">
      <c r="AD624" s="3"/>
      <c r="AE624" s="3"/>
    </row>
    <row r="625" spans="30:31" ht="13">
      <c r="AD625" s="3"/>
      <c r="AE625" s="3"/>
    </row>
    <row r="626" spans="30:31" ht="13">
      <c r="AD626" s="3"/>
      <c r="AE626" s="3"/>
    </row>
    <row r="627" spans="30:31" ht="13">
      <c r="AD627" s="3"/>
      <c r="AE627" s="3"/>
    </row>
    <row r="628" spans="30:31" ht="13">
      <c r="AD628" s="3"/>
      <c r="AE628" s="3"/>
    </row>
    <row r="629" spans="30:31" ht="13">
      <c r="AD629" s="3"/>
      <c r="AE629" s="3"/>
    </row>
    <row r="630" spans="30:31" ht="13">
      <c r="AD630" s="3"/>
      <c r="AE630" s="3"/>
    </row>
    <row r="631" spans="30:31" ht="13">
      <c r="AD631" s="3"/>
      <c r="AE631" s="3"/>
    </row>
    <row r="632" spans="30:31" ht="13">
      <c r="AD632" s="3"/>
      <c r="AE632" s="3"/>
    </row>
    <row r="633" spans="30:31" ht="13">
      <c r="AD633" s="3"/>
      <c r="AE633" s="3"/>
    </row>
    <row r="634" spans="30:31" ht="13">
      <c r="AD634" s="3"/>
      <c r="AE634" s="3"/>
    </row>
    <row r="635" spans="30:31" ht="13">
      <c r="AD635" s="3"/>
      <c r="AE635" s="3"/>
    </row>
    <row r="636" spans="30:31" ht="13">
      <c r="AD636" s="3"/>
      <c r="AE636" s="3"/>
    </row>
    <row r="637" spans="30:31" ht="13">
      <c r="AD637" s="3"/>
      <c r="AE637" s="3"/>
    </row>
    <row r="638" spans="30:31" ht="13">
      <c r="AD638" s="3"/>
      <c r="AE638" s="3"/>
    </row>
    <row r="639" spans="30:31" ht="13">
      <c r="AD639" s="3"/>
      <c r="AE639" s="3"/>
    </row>
    <row r="640" spans="30:31" ht="13">
      <c r="AD640" s="3"/>
      <c r="AE640" s="3"/>
    </row>
    <row r="641" spans="30:31" ht="13">
      <c r="AD641" s="3"/>
      <c r="AE641" s="3"/>
    </row>
    <row r="642" spans="30:31" ht="13">
      <c r="AD642" s="3"/>
      <c r="AE642" s="3"/>
    </row>
    <row r="643" spans="30:31" ht="13">
      <c r="AD643" s="3"/>
      <c r="AE643" s="3"/>
    </row>
    <row r="644" spans="30:31" ht="13">
      <c r="AD644" s="3"/>
      <c r="AE644" s="3"/>
    </row>
    <row r="645" spans="30:31" ht="13">
      <c r="AD645" s="3"/>
      <c r="AE645" s="3"/>
    </row>
    <row r="646" spans="30:31" ht="13">
      <c r="AD646" s="3"/>
      <c r="AE646" s="3"/>
    </row>
    <row r="647" spans="30:31" ht="13">
      <c r="AD647" s="3"/>
      <c r="AE647" s="3"/>
    </row>
    <row r="648" spans="30:31" ht="13">
      <c r="AD648" s="3"/>
      <c r="AE648" s="3"/>
    </row>
    <row r="649" spans="30:31" ht="13">
      <c r="AD649" s="3"/>
      <c r="AE649" s="3"/>
    </row>
    <row r="650" spans="30:31" ht="13">
      <c r="AD650" s="3"/>
      <c r="AE650" s="3"/>
    </row>
    <row r="651" spans="30:31" ht="13">
      <c r="AD651" s="3"/>
      <c r="AE651" s="3"/>
    </row>
    <row r="652" spans="30:31" ht="13">
      <c r="AD652" s="3"/>
      <c r="AE652" s="3"/>
    </row>
    <row r="653" spans="30:31" ht="13">
      <c r="AD653" s="3"/>
      <c r="AE653" s="3"/>
    </row>
    <row r="654" spans="30:31" ht="13">
      <c r="AD654" s="3"/>
      <c r="AE654" s="3"/>
    </row>
    <row r="655" spans="30:31" ht="13">
      <c r="AD655" s="3"/>
      <c r="AE655" s="3"/>
    </row>
    <row r="656" spans="30:31" ht="13">
      <c r="AD656" s="3"/>
      <c r="AE656" s="3"/>
    </row>
    <row r="657" spans="30:31" ht="13">
      <c r="AD657" s="3"/>
      <c r="AE657" s="3"/>
    </row>
    <row r="658" spans="30:31" ht="13">
      <c r="AD658" s="3"/>
      <c r="AE658" s="3"/>
    </row>
    <row r="659" spans="30:31" ht="13">
      <c r="AD659" s="3"/>
      <c r="AE659" s="3"/>
    </row>
    <row r="660" spans="30:31" ht="13">
      <c r="AD660" s="3"/>
      <c r="AE660" s="3"/>
    </row>
    <row r="661" spans="30:31" ht="13">
      <c r="AD661" s="3"/>
      <c r="AE661" s="3"/>
    </row>
    <row r="662" spans="30:31" ht="13">
      <c r="AD662" s="3"/>
      <c r="AE662" s="3"/>
    </row>
    <row r="663" spans="30:31" ht="13">
      <c r="AD663" s="3"/>
      <c r="AE663" s="3"/>
    </row>
    <row r="664" spans="30:31" ht="13">
      <c r="AD664" s="3"/>
      <c r="AE664" s="3"/>
    </row>
    <row r="665" spans="30:31" ht="13">
      <c r="AD665" s="3"/>
      <c r="AE665" s="3"/>
    </row>
    <row r="666" spans="30:31" ht="13">
      <c r="AD666" s="3"/>
      <c r="AE666" s="3"/>
    </row>
    <row r="667" spans="30:31" ht="13">
      <c r="AD667" s="3"/>
      <c r="AE667" s="3"/>
    </row>
    <row r="668" spans="30:31" ht="13">
      <c r="AD668" s="3"/>
      <c r="AE668" s="3"/>
    </row>
    <row r="669" spans="30:31" ht="13">
      <c r="AD669" s="3"/>
      <c r="AE669" s="3"/>
    </row>
    <row r="670" spans="30:31" ht="13">
      <c r="AD670" s="3"/>
      <c r="AE670" s="3"/>
    </row>
    <row r="671" spans="30:31" ht="13">
      <c r="AD671" s="3"/>
      <c r="AE671" s="3"/>
    </row>
    <row r="672" spans="30:31" ht="13">
      <c r="AD672" s="3"/>
      <c r="AE672" s="3"/>
    </row>
    <row r="673" spans="30:31" ht="13">
      <c r="AD673" s="3"/>
      <c r="AE673" s="3"/>
    </row>
    <row r="674" spans="30:31" ht="13">
      <c r="AD674" s="3"/>
      <c r="AE674" s="3"/>
    </row>
    <row r="675" spans="30:31" ht="13">
      <c r="AD675" s="3"/>
      <c r="AE675" s="3"/>
    </row>
    <row r="676" spans="30:31" ht="13">
      <c r="AD676" s="3"/>
      <c r="AE676" s="3"/>
    </row>
    <row r="677" spans="30:31" ht="13">
      <c r="AD677" s="3"/>
      <c r="AE677" s="3"/>
    </row>
    <row r="678" spans="30:31" ht="13">
      <c r="AD678" s="3"/>
      <c r="AE678" s="3"/>
    </row>
    <row r="679" spans="30:31" ht="13">
      <c r="AD679" s="3"/>
      <c r="AE679" s="3"/>
    </row>
    <row r="680" spans="30:31" ht="13">
      <c r="AD680" s="3"/>
      <c r="AE680" s="3"/>
    </row>
    <row r="681" spans="30:31" ht="13">
      <c r="AD681" s="3"/>
      <c r="AE681" s="3"/>
    </row>
    <row r="682" spans="30:31" ht="13">
      <c r="AD682" s="3"/>
      <c r="AE682" s="3"/>
    </row>
    <row r="683" spans="30:31" ht="13">
      <c r="AD683" s="3"/>
      <c r="AE683" s="3"/>
    </row>
    <row r="684" spans="30:31" ht="13">
      <c r="AD684" s="3"/>
      <c r="AE684" s="3"/>
    </row>
    <row r="685" spans="30:31" ht="13">
      <c r="AD685" s="3"/>
      <c r="AE685" s="3"/>
    </row>
    <row r="686" spans="30:31" ht="13">
      <c r="AD686" s="3"/>
      <c r="AE686" s="3"/>
    </row>
    <row r="687" spans="30:31" ht="13">
      <c r="AD687" s="3"/>
      <c r="AE687" s="3"/>
    </row>
    <row r="688" spans="30:31" ht="13">
      <c r="AD688" s="3"/>
      <c r="AE688" s="3"/>
    </row>
    <row r="689" spans="30:31" ht="13">
      <c r="AD689" s="3"/>
      <c r="AE689" s="3"/>
    </row>
    <row r="690" spans="30:31" ht="13">
      <c r="AD690" s="3"/>
      <c r="AE690" s="3"/>
    </row>
    <row r="691" spans="30:31" ht="13">
      <c r="AD691" s="3"/>
      <c r="AE691" s="3"/>
    </row>
    <row r="692" spans="30:31" ht="13">
      <c r="AD692" s="3"/>
      <c r="AE692" s="3"/>
    </row>
    <row r="693" spans="30:31" ht="13">
      <c r="AD693" s="3"/>
      <c r="AE693" s="3"/>
    </row>
    <row r="694" spans="30:31" ht="13">
      <c r="AD694" s="3"/>
      <c r="AE694" s="3"/>
    </row>
    <row r="695" spans="30:31" ht="13">
      <c r="AD695" s="3"/>
      <c r="AE695" s="3"/>
    </row>
    <row r="696" spans="30:31" ht="13">
      <c r="AD696" s="3"/>
      <c r="AE696" s="3"/>
    </row>
    <row r="697" spans="30:31" ht="13">
      <c r="AD697" s="3"/>
      <c r="AE697" s="3"/>
    </row>
    <row r="698" spans="30:31" ht="13">
      <c r="AD698" s="3"/>
      <c r="AE698" s="3"/>
    </row>
    <row r="699" spans="30:31" ht="13">
      <c r="AD699" s="3"/>
      <c r="AE699" s="3"/>
    </row>
    <row r="700" spans="30:31" ht="13">
      <c r="AD700" s="3"/>
      <c r="AE700" s="3"/>
    </row>
    <row r="701" spans="30:31" ht="13">
      <c r="AD701" s="3"/>
      <c r="AE701" s="3"/>
    </row>
    <row r="702" spans="30:31" ht="13">
      <c r="AD702" s="3"/>
      <c r="AE702" s="3"/>
    </row>
    <row r="703" spans="30:31" ht="13">
      <c r="AD703" s="3"/>
      <c r="AE703" s="3"/>
    </row>
    <row r="704" spans="30:31" ht="13">
      <c r="AD704" s="3"/>
      <c r="AE704" s="3"/>
    </row>
    <row r="705" spans="30:31" ht="13">
      <c r="AD705" s="3"/>
      <c r="AE705" s="3"/>
    </row>
    <row r="706" spans="30:31" ht="13">
      <c r="AD706" s="3"/>
      <c r="AE706" s="3"/>
    </row>
    <row r="707" spans="30:31" ht="13">
      <c r="AD707" s="3"/>
      <c r="AE707" s="3"/>
    </row>
    <row r="708" spans="30:31" ht="13">
      <c r="AD708" s="3"/>
      <c r="AE708" s="3"/>
    </row>
    <row r="709" spans="30:31" ht="13">
      <c r="AD709" s="3"/>
      <c r="AE709" s="3"/>
    </row>
    <row r="710" spans="30:31" ht="13">
      <c r="AD710" s="3"/>
      <c r="AE710" s="3"/>
    </row>
    <row r="711" spans="30:31" ht="13">
      <c r="AD711" s="3"/>
      <c r="AE711" s="3"/>
    </row>
    <row r="712" spans="30:31" ht="13">
      <c r="AD712" s="3"/>
      <c r="AE712" s="3"/>
    </row>
    <row r="713" spans="30:31" ht="13">
      <c r="AD713" s="3"/>
      <c r="AE713" s="3"/>
    </row>
    <row r="714" spans="30:31" ht="13">
      <c r="AD714" s="3"/>
      <c r="AE714" s="3"/>
    </row>
    <row r="715" spans="30:31" ht="13">
      <c r="AD715" s="3"/>
      <c r="AE715" s="3"/>
    </row>
    <row r="716" spans="30:31" ht="13">
      <c r="AD716" s="3"/>
      <c r="AE716" s="3"/>
    </row>
    <row r="717" spans="30:31" ht="13">
      <c r="AD717" s="3"/>
      <c r="AE717" s="3"/>
    </row>
    <row r="718" spans="30:31" ht="13">
      <c r="AD718" s="3"/>
      <c r="AE718" s="3"/>
    </row>
    <row r="719" spans="30:31" ht="13">
      <c r="AD719" s="3"/>
      <c r="AE719" s="3"/>
    </row>
    <row r="720" spans="30:31" ht="13">
      <c r="AD720" s="3"/>
      <c r="AE720" s="3"/>
    </row>
    <row r="721" spans="30:31" ht="13">
      <c r="AD721" s="3"/>
      <c r="AE721" s="3"/>
    </row>
    <row r="722" spans="30:31" ht="13">
      <c r="AD722" s="3"/>
      <c r="AE722" s="3"/>
    </row>
    <row r="723" spans="30:31" ht="13">
      <c r="AD723" s="3"/>
      <c r="AE723" s="3"/>
    </row>
    <row r="724" spans="30:31" ht="13">
      <c r="AD724" s="3"/>
      <c r="AE724" s="3"/>
    </row>
    <row r="725" spans="30:31" ht="13">
      <c r="AD725" s="3"/>
      <c r="AE725" s="3"/>
    </row>
    <row r="726" spans="30:31" ht="13">
      <c r="AD726" s="3"/>
      <c r="AE726" s="3"/>
    </row>
    <row r="727" spans="30:31" ht="13">
      <c r="AD727" s="3"/>
      <c r="AE727" s="3"/>
    </row>
    <row r="728" spans="30:31" ht="13">
      <c r="AD728" s="3"/>
      <c r="AE728" s="3"/>
    </row>
    <row r="729" spans="30:31" ht="13">
      <c r="AD729" s="3"/>
      <c r="AE729" s="3"/>
    </row>
    <row r="730" spans="30:31" ht="13">
      <c r="AD730" s="3"/>
      <c r="AE730" s="3"/>
    </row>
    <row r="731" spans="30:31" ht="13">
      <c r="AD731" s="3"/>
      <c r="AE731" s="3"/>
    </row>
    <row r="732" spans="30:31" ht="13">
      <c r="AD732" s="3"/>
      <c r="AE732" s="3"/>
    </row>
    <row r="733" spans="30:31" ht="13">
      <c r="AD733" s="3"/>
      <c r="AE733" s="3"/>
    </row>
    <row r="734" spans="30:31" ht="13">
      <c r="AD734" s="3"/>
      <c r="AE734" s="3"/>
    </row>
    <row r="735" spans="30:31" ht="13">
      <c r="AD735" s="3"/>
      <c r="AE735" s="3"/>
    </row>
    <row r="736" spans="30:31" ht="13">
      <c r="AD736" s="3"/>
      <c r="AE736" s="3"/>
    </row>
    <row r="737" spans="30:31" ht="13">
      <c r="AD737" s="3"/>
      <c r="AE737" s="3"/>
    </row>
    <row r="738" spans="30:31" ht="13">
      <c r="AD738" s="3"/>
      <c r="AE738" s="3"/>
    </row>
    <row r="739" spans="30:31" ht="13">
      <c r="AD739" s="3"/>
      <c r="AE739" s="3"/>
    </row>
    <row r="740" spans="30:31" ht="13">
      <c r="AD740" s="3"/>
      <c r="AE740" s="3"/>
    </row>
    <row r="741" spans="30:31" ht="13">
      <c r="AD741" s="3"/>
      <c r="AE741" s="3"/>
    </row>
    <row r="742" spans="30:31" ht="13">
      <c r="AD742" s="3"/>
      <c r="AE742" s="3"/>
    </row>
    <row r="743" spans="30:31" ht="13">
      <c r="AD743" s="3"/>
      <c r="AE743" s="3"/>
    </row>
    <row r="744" spans="30:31" ht="13">
      <c r="AD744" s="3"/>
      <c r="AE744" s="3"/>
    </row>
    <row r="745" spans="30:31" ht="13">
      <c r="AD745" s="3"/>
      <c r="AE745" s="3"/>
    </row>
    <row r="746" spans="30:31" ht="13">
      <c r="AD746" s="3"/>
      <c r="AE746" s="3"/>
    </row>
    <row r="747" spans="30:31" ht="13">
      <c r="AD747" s="3"/>
      <c r="AE747" s="3"/>
    </row>
    <row r="748" spans="30:31" ht="13">
      <c r="AD748" s="3"/>
      <c r="AE748" s="3"/>
    </row>
    <row r="749" spans="30:31" ht="13">
      <c r="AD749" s="3"/>
      <c r="AE749" s="3"/>
    </row>
    <row r="750" spans="30:31" ht="13">
      <c r="AD750" s="3"/>
      <c r="AE750" s="3"/>
    </row>
    <row r="751" spans="30:31" ht="13">
      <c r="AD751" s="3"/>
      <c r="AE751" s="3"/>
    </row>
    <row r="752" spans="30:31" ht="13">
      <c r="AD752" s="3"/>
      <c r="AE752" s="3"/>
    </row>
    <row r="753" spans="30:31" ht="13">
      <c r="AD753" s="3"/>
      <c r="AE753" s="3"/>
    </row>
    <row r="754" spans="30:31" ht="13">
      <c r="AD754" s="3"/>
      <c r="AE754" s="3"/>
    </row>
    <row r="755" spans="30:31" ht="13">
      <c r="AD755" s="3"/>
      <c r="AE755" s="3"/>
    </row>
    <row r="756" spans="30:31" ht="13">
      <c r="AD756" s="3"/>
      <c r="AE756" s="3"/>
    </row>
    <row r="757" spans="30:31" ht="13">
      <c r="AD757" s="3"/>
      <c r="AE757" s="3"/>
    </row>
    <row r="758" spans="30:31" ht="13">
      <c r="AD758" s="3"/>
      <c r="AE758" s="3"/>
    </row>
    <row r="759" spans="30:31" ht="13">
      <c r="AD759" s="3"/>
      <c r="AE759" s="3"/>
    </row>
    <row r="760" spans="30:31" ht="13">
      <c r="AD760" s="3"/>
      <c r="AE760" s="3"/>
    </row>
    <row r="761" spans="30:31" ht="13">
      <c r="AD761" s="3"/>
      <c r="AE761" s="3"/>
    </row>
    <row r="762" spans="30:31" ht="13">
      <c r="AD762" s="3"/>
      <c r="AE762" s="3"/>
    </row>
    <row r="763" spans="30:31" ht="13">
      <c r="AD763" s="3"/>
      <c r="AE763" s="3"/>
    </row>
    <row r="764" spans="30:31" ht="13">
      <c r="AD764" s="3"/>
      <c r="AE764" s="3"/>
    </row>
    <row r="765" spans="30:31" ht="13">
      <c r="AD765" s="3"/>
      <c r="AE765" s="3"/>
    </row>
    <row r="766" spans="30:31" ht="13">
      <c r="AD766" s="3"/>
      <c r="AE766" s="3"/>
    </row>
    <row r="767" spans="30:31" ht="13">
      <c r="AD767" s="3"/>
      <c r="AE767" s="3"/>
    </row>
    <row r="768" spans="30:31" ht="13">
      <c r="AD768" s="3"/>
      <c r="AE768" s="3"/>
    </row>
    <row r="769" spans="30:31" ht="13">
      <c r="AD769" s="3"/>
      <c r="AE769" s="3"/>
    </row>
    <row r="770" spans="30:31" ht="13">
      <c r="AD770" s="3"/>
      <c r="AE770" s="3"/>
    </row>
    <row r="771" spans="30:31" ht="13">
      <c r="AD771" s="3"/>
      <c r="AE771" s="3"/>
    </row>
    <row r="772" spans="30:31" ht="13">
      <c r="AD772" s="3"/>
      <c r="AE772" s="3"/>
    </row>
    <row r="773" spans="30:31" ht="13">
      <c r="AD773" s="3"/>
      <c r="AE773" s="3"/>
    </row>
    <row r="774" spans="30:31" ht="13">
      <c r="AD774" s="3"/>
      <c r="AE774" s="3"/>
    </row>
    <row r="775" spans="30:31" ht="13">
      <c r="AD775" s="3"/>
      <c r="AE775" s="3"/>
    </row>
    <row r="776" spans="30:31" ht="13">
      <c r="AD776" s="3"/>
      <c r="AE776" s="3"/>
    </row>
    <row r="777" spans="30:31" ht="13">
      <c r="AD777" s="3"/>
      <c r="AE777" s="3"/>
    </row>
    <row r="778" spans="30:31" ht="13">
      <c r="AD778" s="3"/>
      <c r="AE778" s="3"/>
    </row>
    <row r="779" spans="30:31" ht="13">
      <c r="AD779" s="3"/>
      <c r="AE779" s="3"/>
    </row>
    <row r="780" spans="30:31" ht="13">
      <c r="AD780" s="3"/>
      <c r="AE780" s="3"/>
    </row>
    <row r="781" spans="30:31" ht="13">
      <c r="AD781" s="3"/>
      <c r="AE781" s="3"/>
    </row>
    <row r="782" spans="30:31" ht="13">
      <c r="AD782" s="3"/>
      <c r="AE782" s="3"/>
    </row>
    <row r="783" spans="30:31" ht="13">
      <c r="AD783" s="3"/>
      <c r="AE783" s="3"/>
    </row>
    <row r="784" spans="30:31" ht="13">
      <c r="AD784" s="3"/>
      <c r="AE784" s="3"/>
    </row>
    <row r="785" spans="30:31" ht="13">
      <c r="AD785" s="3"/>
      <c r="AE785" s="3"/>
    </row>
    <row r="786" spans="30:31" ht="13">
      <c r="AD786" s="3"/>
      <c r="AE786" s="3"/>
    </row>
    <row r="787" spans="30:31" ht="13">
      <c r="AD787" s="3"/>
      <c r="AE787" s="3"/>
    </row>
    <row r="788" spans="30:31" ht="13">
      <c r="AD788" s="3"/>
      <c r="AE788" s="3"/>
    </row>
    <row r="789" spans="30:31" ht="13">
      <c r="AD789" s="3"/>
      <c r="AE789" s="3"/>
    </row>
    <row r="790" spans="30:31" ht="13">
      <c r="AD790" s="3"/>
      <c r="AE790" s="3"/>
    </row>
    <row r="791" spans="30:31" ht="13">
      <c r="AD791" s="3"/>
      <c r="AE791" s="3"/>
    </row>
    <row r="792" spans="30:31" ht="13">
      <c r="AD792" s="3"/>
      <c r="AE792" s="3"/>
    </row>
    <row r="793" spans="30:31" ht="13">
      <c r="AD793" s="3"/>
      <c r="AE793" s="3"/>
    </row>
    <row r="794" spans="30:31" ht="13">
      <c r="AD794" s="3"/>
      <c r="AE794" s="3"/>
    </row>
    <row r="795" spans="30:31" ht="13">
      <c r="AD795" s="3"/>
      <c r="AE795" s="3"/>
    </row>
    <row r="796" spans="30:31" ht="13">
      <c r="AD796" s="3"/>
      <c r="AE796" s="3"/>
    </row>
    <row r="797" spans="30:31" ht="13">
      <c r="AD797" s="3"/>
      <c r="AE797" s="3"/>
    </row>
    <row r="798" spans="30:31" ht="13">
      <c r="AD798" s="3"/>
      <c r="AE798" s="3"/>
    </row>
    <row r="799" spans="30:31" ht="13">
      <c r="AD799" s="3"/>
      <c r="AE799" s="3"/>
    </row>
    <row r="800" spans="30:31" ht="13">
      <c r="AD800" s="3"/>
      <c r="AE800" s="3"/>
    </row>
    <row r="801" spans="30:31" ht="13">
      <c r="AD801" s="3"/>
      <c r="AE801" s="3"/>
    </row>
    <row r="802" spans="30:31" ht="13">
      <c r="AD802" s="3"/>
      <c r="AE802" s="3"/>
    </row>
    <row r="803" spans="30:31" ht="13">
      <c r="AD803" s="3"/>
      <c r="AE803" s="3"/>
    </row>
    <row r="804" spans="30:31" ht="13">
      <c r="AD804" s="3"/>
      <c r="AE804" s="3"/>
    </row>
    <row r="805" spans="30:31" ht="13">
      <c r="AD805" s="3"/>
      <c r="AE805" s="3"/>
    </row>
    <row r="806" spans="30:31" ht="13">
      <c r="AD806" s="3"/>
      <c r="AE806" s="3"/>
    </row>
    <row r="807" spans="30:31" ht="13">
      <c r="AD807" s="3"/>
      <c r="AE807" s="3"/>
    </row>
    <row r="808" spans="30:31" ht="13">
      <c r="AD808" s="3"/>
      <c r="AE808" s="3"/>
    </row>
    <row r="809" spans="30:31" ht="13">
      <c r="AD809" s="3"/>
      <c r="AE809" s="3"/>
    </row>
    <row r="810" spans="30:31" ht="13">
      <c r="AD810" s="3"/>
      <c r="AE810" s="3"/>
    </row>
    <row r="811" spans="30:31" ht="13">
      <c r="AD811" s="3"/>
      <c r="AE811" s="3"/>
    </row>
    <row r="812" spans="30:31" ht="13">
      <c r="AD812" s="3"/>
      <c r="AE812" s="3"/>
    </row>
    <row r="813" spans="30:31" ht="13">
      <c r="AD813" s="3"/>
      <c r="AE813" s="3"/>
    </row>
    <row r="814" spans="30:31" ht="13">
      <c r="AD814" s="3"/>
      <c r="AE814" s="3"/>
    </row>
    <row r="815" spans="30:31" ht="13">
      <c r="AD815" s="3"/>
      <c r="AE815" s="3"/>
    </row>
    <row r="816" spans="30:31" ht="13">
      <c r="AD816" s="3"/>
      <c r="AE816" s="3"/>
    </row>
    <row r="817" spans="30:31" ht="13">
      <c r="AD817" s="3"/>
      <c r="AE817" s="3"/>
    </row>
    <row r="818" spans="30:31" ht="13">
      <c r="AD818" s="3"/>
      <c r="AE818" s="3"/>
    </row>
    <row r="819" spans="30:31" ht="13">
      <c r="AD819" s="3"/>
      <c r="AE819" s="3"/>
    </row>
    <row r="820" spans="30:31" ht="13">
      <c r="AD820" s="3"/>
      <c r="AE820" s="3"/>
    </row>
    <row r="821" spans="30:31" ht="13">
      <c r="AD821" s="3"/>
      <c r="AE821" s="3"/>
    </row>
    <row r="822" spans="30:31" ht="13">
      <c r="AD822" s="3"/>
      <c r="AE822" s="3"/>
    </row>
    <row r="823" spans="30:31" ht="13">
      <c r="AD823" s="3"/>
      <c r="AE823" s="3"/>
    </row>
    <row r="824" spans="30:31" ht="13">
      <c r="AD824" s="3"/>
      <c r="AE824" s="3"/>
    </row>
    <row r="825" spans="30:31" ht="13">
      <c r="AD825" s="3"/>
      <c r="AE825" s="3"/>
    </row>
    <row r="826" spans="30:31" ht="13">
      <c r="AD826" s="3"/>
      <c r="AE826" s="3"/>
    </row>
    <row r="827" spans="30:31" ht="13">
      <c r="AD827" s="3"/>
      <c r="AE827" s="3"/>
    </row>
    <row r="828" spans="30:31" ht="13">
      <c r="AD828" s="3"/>
      <c r="AE828" s="3"/>
    </row>
    <row r="829" spans="30:31" ht="13">
      <c r="AD829" s="3"/>
      <c r="AE829" s="3"/>
    </row>
    <row r="830" spans="30:31" ht="13">
      <c r="AD830" s="3"/>
      <c r="AE830" s="3"/>
    </row>
    <row r="831" spans="30:31" ht="13">
      <c r="AD831" s="3"/>
      <c r="AE831" s="3"/>
    </row>
    <row r="832" spans="30:31" ht="13">
      <c r="AD832" s="3"/>
      <c r="AE832" s="3"/>
    </row>
    <row r="833" spans="30:31" ht="13">
      <c r="AD833" s="3"/>
      <c r="AE833" s="3"/>
    </row>
    <row r="834" spans="30:31" ht="13">
      <c r="AD834" s="3"/>
      <c r="AE834" s="3"/>
    </row>
    <row r="835" spans="30:31" ht="13">
      <c r="AD835" s="3"/>
      <c r="AE835" s="3"/>
    </row>
    <row r="836" spans="30:31" ht="13">
      <c r="AD836" s="3"/>
      <c r="AE836" s="3"/>
    </row>
    <row r="837" spans="30:31" ht="13">
      <c r="AD837" s="3"/>
      <c r="AE837" s="3"/>
    </row>
    <row r="838" spans="30:31" ht="13">
      <c r="AD838" s="3"/>
      <c r="AE838" s="3"/>
    </row>
    <row r="839" spans="30:31" ht="13">
      <c r="AD839" s="3"/>
      <c r="AE839" s="3"/>
    </row>
    <row r="840" spans="30:31" ht="13">
      <c r="AD840" s="3"/>
      <c r="AE840" s="3"/>
    </row>
    <row r="841" spans="30:31" ht="13">
      <c r="AD841" s="3"/>
      <c r="AE841" s="3"/>
    </row>
    <row r="842" spans="30:31" ht="13">
      <c r="AD842" s="3"/>
      <c r="AE842" s="3"/>
    </row>
    <row r="843" spans="30:31" ht="13">
      <c r="AD843" s="3"/>
      <c r="AE843" s="3"/>
    </row>
    <row r="844" spans="30:31" ht="13">
      <c r="AD844" s="3"/>
      <c r="AE844" s="3"/>
    </row>
    <row r="845" spans="30:31" ht="13">
      <c r="AD845" s="3"/>
      <c r="AE845" s="3"/>
    </row>
    <row r="846" spans="30:31" ht="13">
      <c r="AD846" s="3"/>
      <c r="AE846" s="3"/>
    </row>
    <row r="847" spans="30:31" ht="13">
      <c r="AD847" s="3"/>
      <c r="AE847" s="3"/>
    </row>
    <row r="848" spans="30:31" ht="13">
      <c r="AD848" s="3"/>
      <c r="AE848" s="3"/>
    </row>
    <row r="849" spans="30:31" ht="13">
      <c r="AD849" s="3"/>
      <c r="AE849" s="3"/>
    </row>
    <row r="850" spans="30:31" ht="13">
      <c r="AD850" s="3"/>
      <c r="AE850" s="3"/>
    </row>
    <row r="851" spans="30:31" ht="13">
      <c r="AD851" s="3"/>
      <c r="AE851" s="3"/>
    </row>
    <row r="852" spans="30:31" ht="13">
      <c r="AD852" s="3"/>
      <c r="AE852" s="3"/>
    </row>
    <row r="853" spans="30:31" ht="13">
      <c r="AD853" s="3"/>
      <c r="AE853" s="3"/>
    </row>
    <row r="854" spans="30:31" ht="13">
      <c r="AD854" s="3"/>
      <c r="AE854" s="3"/>
    </row>
    <row r="855" spans="30:31" ht="13">
      <c r="AD855" s="3"/>
      <c r="AE855" s="3"/>
    </row>
    <row r="856" spans="30:31" ht="13">
      <c r="AD856" s="3"/>
      <c r="AE856" s="3"/>
    </row>
    <row r="857" spans="30:31" ht="13">
      <c r="AD857" s="3"/>
      <c r="AE857" s="3"/>
    </row>
    <row r="858" spans="30:31" ht="13">
      <c r="AD858" s="3"/>
      <c r="AE858" s="3"/>
    </row>
    <row r="859" spans="30:31" ht="13">
      <c r="AD859" s="3"/>
      <c r="AE859" s="3"/>
    </row>
    <row r="860" spans="30:31" ht="13">
      <c r="AD860" s="3"/>
      <c r="AE860" s="3"/>
    </row>
    <row r="861" spans="30:31" ht="13">
      <c r="AD861" s="3"/>
      <c r="AE861" s="3"/>
    </row>
    <row r="862" spans="30:31" ht="13">
      <c r="AD862" s="3"/>
      <c r="AE862" s="3"/>
    </row>
    <row r="863" spans="30:31" ht="13">
      <c r="AD863" s="3"/>
      <c r="AE863" s="3"/>
    </row>
    <row r="864" spans="30:31" ht="13">
      <c r="AD864" s="3"/>
      <c r="AE864" s="3"/>
    </row>
    <row r="865" spans="30:31" ht="13">
      <c r="AD865" s="3"/>
      <c r="AE865" s="3"/>
    </row>
    <row r="866" spans="30:31" ht="13">
      <c r="AD866" s="3"/>
      <c r="AE866" s="3"/>
    </row>
    <row r="867" spans="30:31" ht="13">
      <c r="AD867" s="3"/>
      <c r="AE867" s="3"/>
    </row>
    <row r="868" spans="30:31" ht="13">
      <c r="AD868" s="3"/>
      <c r="AE868" s="3"/>
    </row>
    <row r="869" spans="30:31" ht="13">
      <c r="AD869" s="3"/>
      <c r="AE869" s="3"/>
    </row>
    <row r="870" spans="30:31" ht="13">
      <c r="AD870" s="3"/>
      <c r="AE870" s="3"/>
    </row>
    <row r="871" spans="30:31" ht="13">
      <c r="AD871" s="3"/>
      <c r="AE871" s="3"/>
    </row>
    <row r="872" spans="30:31" ht="13">
      <c r="AD872" s="3"/>
      <c r="AE872" s="3"/>
    </row>
    <row r="873" spans="30:31" ht="13">
      <c r="AD873" s="3"/>
      <c r="AE873" s="3"/>
    </row>
    <row r="874" spans="30:31" ht="13">
      <c r="AD874" s="3"/>
      <c r="AE874" s="3"/>
    </row>
    <row r="875" spans="30:31" ht="13">
      <c r="AD875" s="3"/>
      <c r="AE875" s="3"/>
    </row>
    <row r="876" spans="30:31" ht="13">
      <c r="AD876" s="3"/>
      <c r="AE876" s="3"/>
    </row>
    <row r="877" spans="30:31" ht="13">
      <c r="AD877" s="3"/>
      <c r="AE877" s="3"/>
    </row>
    <row r="878" spans="30:31" ht="13">
      <c r="AD878" s="3"/>
      <c r="AE878" s="3"/>
    </row>
    <row r="879" spans="30:31" ht="13">
      <c r="AD879" s="3"/>
      <c r="AE879" s="3"/>
    </row>
    <row r="880" spans="30:31" ht="13">
      <c r="AD880" s="3"/>
      <c r="AE880" s="3"/>
    </row>
    <row r="881" spans="30:31" ht="13">
      <c r="AD881" s="3"/>
      <c r="AE881" s="3"/>
    </row>
    <row r="882" spans="30:31" ht="13">
      <c r="AD882" s="3"/>
      <c r="AE882" s="3"/>
    </row>
    <row r="883" spans="30:31" ht="13">
      <c r="AD883" s="3"/>
      <c r="AE883" s="3"/>
    </row>
    <row r="884" spans="30:31" ht="13">
      <c r="AD884" s="3"/>
      <c r="AE884" s="3"/>
    </row>
    <row r="885" spans="30:31" ht="13">
      <c r="AD885" s="3"/>
      <c r="AE885" s="3"/>
    </row>
    <row r="886" spans="30:31" ht="13">
      <c r="AD886" s="3"/>
      <c r="AE886" s="3"/>
    </row>
    <row r="887" spans="30:31" ht="13">
      <c r="AD887" s="3"/>
      <c r="AE887" s="3"/>
    </row>
    <row r="888" spans="30:31" ht="13">
      <c r="AD888" s="3"/>
      <c r="AE888" s="3"/>
    </row>
    <row r="889" spans="30:31" ht="13">
      <c r="AD889" s="3"/>
      <c r="AE889" s="3"/>
    </row>
    <row r="890" spans="30:31" ht="13">
      <c r="AD890" s="3"/>
      <c r="AE890" s="3"/>
    </row>
    <row r="891" spans="30:31" ht="13">
      <c r="AD891" s="3"/>
      <c r="AE891" s="3"/>
    </row>
    <row r="892" spans="30:31" ht="13">
      <c r="AD892" s="3"/>
      <c r="AE892" s="3"/>
    </row>
    <row r="893" spans="30:31" ht="13">
      <c r="AD893" s="3"/>
      <c r="AE893" s="3"/>
    </row>
    <row r="894" spans="30:31" ht="13">
      <c r="AD894" s="3"/>
      <c r="AE894" s="3"/>
    </row>
    <row r="895" spans="30:31" ht="13">
      <c r="AD895" s="3"/>
      <c r="AE895" s="3"/>
    </row>
    <row r="896" spans="30:31" ht="13">
      <c r="AD896" s="3"/>
      <c r="AE896" s="3"/>
    </row>
    <row r="897" spans="30:31" ht="13">
      <c r="AD897" s="3"/>
      <c r="AE897" s="3"/>
    </row>
    <row r="898" spans="30:31" ht="13">
      <c r="AD898" s="3"/>
      <c r="AE898" s="3"/>
    </row>
    <row r="899" spans="30:31" ht="13">
      <c r="AD899" s="3"/>
      <c r="AE899" s="3"/>
    </row>
    <row r="900" spans="30:31" ht="13">
      <c r="AD900" s="3"/>
      <c r="AE900" s="3"/>
    </row>
    <row r="901" spans="30:31" ht="13">
      <c r="AD901" s="3"/>
      <c r="AE901" s="3"/>
    </row>
    <row r="902" spans="30:31" ht="13">
      <c r="AD902" s="3"/>
      <c r="AE902" s="3"/>
    </row>
    <row r="903" spans="30:31" ht="13">
      <c r="AD903" s="3"/>
      <c r="AE903" s="3"/>
    </row>
    <row r="904" spans="30:31" ht="13">
      <c r="AD904" s="3"/>
      <c r="AE904" s="3"/>
    </row>
    <row r="905" spans="30:31" ht="13">
      <c r="AD905" s="3"/>
      <c r="AE905" s="3"/>
    </row>
    <row r="906" spans="30:31" ht="13">
      <c r="AD906" s="3"/>
      <c r="AE906" s="3"/>
    </row>
    <row r="907" spans="30:31" ht="13">
      <c r="AD907" s="3"/>
      <c r="AE907" s="3"/>
    </row>
    <row r="908" spans="30:31" ht="13">
      <c r="AD908" s="3"/>
      <c r="AE908" s="3"/>
    </row>
    <row r="909" spans="30:31" ht="13">
      <c r="AD909" s="3"/>
      <c r="AE909" s="3"/>
    </row>
    <row r="910" spans="30:31" ht="13">
      <c r="AD910" s="3"/>
      <c r="AE910" s="3"/>
    </row>
    <row r="911" spans="30:31" ht="13">
      <c r="AD911" s="3"/>
      <c r="AE911" s="3"/>
    </row>
    <row r="912" spans="30:31" ht="13">
      <c r="AD912" s="3"/>
      <c r="AE912" s="3"/>
    </row>
    <row r="913" spans="30:31" ht="13">
      <c r="AD913" s="3"/>
      <c r="AE913" s="3"/>
    </row>
    <row r="914" spans="30:31" ht="13">
      <c r="AD914" s="3"/>
      <c r="AE914" s="3"/>
    </row>
    <row r="915" spans="30:31" ht="13">
      <c r="AD915" s="3"/>
      <c r="AE915" s="3"/>
    </row>
    <row r="916" spans="30:31" ht="13">
      <c r="AD916" s="3"/>
      <c r="AE916" s="3"/>
    </row>
    <row r="917" spans="30:31" ht="13">
      <c r="AD917" s="3"/>
      <c r="AE917" s="3"/>
    </row>
    <row r="918" spans="30:31" ht="13">
      <c r="AD918" s="3"/>
      <c r="AE918" s="3"/>
    </row>
    <row r="919" spans="30:31" ht="13">
      <c r="AD919" s="3"/>
      <c r="AE919" s="3"/>
    </row>
    <row r="920" spans="30:31" ht="13">
      <c r="AD920" s="3"/>
      <c r="AE920" s="3"/>
    </row>
    <row r="921" spans="30:31" ht="13">
      <c r="AD921" s="3"/>
      <c r="AE921" s="3"/>
    </row>
    <row r="922" spans="30:31" ht="13">
      <c r="AD922" s="3"/>
      <c r="AE922" s="3"/>
    </row>
    <row r="923" spans="30:31" ht="13">
      <c r="AD923" s="3"/>
      <c r="AE923" s="3"/>
    </row>
    <row r="924" spans="30:31" ht="13">
      <c r="AD924" s="3"/>
      <c r="AE924" s="3"/>
    </row>
    <row r="925" spans="30:31" ht="13">
      <c r="AD925" s="3"/>
      <c r="AE925" s="3"/>
    </row>
    <row r="926" spans="30:31" ht="13">
      <c r="AD926" s="3"/>
      <c r="AE926" s="3"/>
    </row>
    <row r="927" spans="30:31" ht="13">
      <c r="AD927" s="3"/>
      <c r="AE927" s="3"/>
    </row>
    <row r="928" spans="30:31" ht="13">
      <c r="AD928" s="3"/>
      <c r="AE928" s="3"/>
    </row>
    <row r="929" spans="30:31" ht="13">
      <c r="AD929" s="3"/>
      <c r="AE929" s="3"/>
    </row>
    <row r="930" spans="30:31" ht="13">
      <c r="AD930" s="3"/>
      <c r="AE930" s="3"/>
    </row>
    <row r="931" spans="30:31" ht="13">
      <c r="AD931" s="3"/>
      <c r="AE931" s="3"/>
    </row>
    <row r="932" spans="30:31" ht="13">
      <c r="AD932" s="3"/>
      <c r="AE932" s="3"/>
    </row>
    <row r="933" spans="30:31" ht="13">
      <c r="AD933" s="3"/>
      <c r="AE933" s="3"/>
    </row>
    <row r="934" spans="30:31" ht="13">
      <c r="AD934" s="3"/>
      <c r="AE934" s="3"/>
    </row>
    <row r="935" spans="30:31" ht="13">
      <c r="AD935" s="3"/>
      <c r="AE935" s="3"/>
    </row>
    <row r="936" spans="30:31" ht="13">
      <c r="AD936" s="3"/>
      <c r="AE936" s="3"/>
    </row>
    <row r="937" spans="30:31" ht="13">
      <c r="AD937" s="3"/>
      <c r="AE937" s="3"/>
    </row>
    <row r="938" spans="30:31" ht="13">
      <c r="AD938" s="3"/>
      <c r="AE938" s="3"/>
    </row>
    <row r="939" spans="30:31" ht="13">
      <c r="AD939" s="3"/>
      <c r="AE939" s="3"/>
    </row>
    <row r="940" spans="30:31" ht="13">
      <c r="AD940" s="3"/>
      <c r="AE940" s="3"/>
    </row>
    <row r="941" spans="30:31" ht="13">
      <c r="AD941" s="3"/>
      <c r="AE941" s="3"/>
    </row>
    <row r="942" spans="30:31" ht="13">
      <c r="AD942" s="3"/>
      <c r="AE942" s="3"/>
    </row>
    <row r="943" spans="30:31" ht="13">
      <c r="AD943" s="3"/>
      <c r="AE943" s="3"/>
    </row>
    <row r="944" spans="30:31" ht="13">
      <c r="AD944" s="3"/>
      <c r="AE944" s="3"/>
    </row>
    <row r="945" spans="30:31" ht="13">
      <c r="AD945" s="3"/>
      <c r="AE945" s="3"/>
    </row>
    <row r="946" spans="30:31" ht="13">
      <c r="AD946" s="3"/>
      <c r="AE946" s="3"/>
    </row>
    <row r="947" spans="30:31" ht="13">
      <c r="AD947" s="3"/>
      <c r="AE947" s="3"/>
    </row>
    <row r="948" spans="30:31" ht="13">
      <c r="AD948" s="3"/>
      <c r="AE948" s="3"/>
    </row>
    <row r="949" spans="30:31" ht="13">
      <c r="AD949" s="3"/>
      <c r="AE949" s="3"/>
    </row>
    <row r="950" spans="30:31" ht="13">
      <c r="AD950" s="3"/>
      <c r="AE950" s="3"/>
    </row>
    <row r="951" spans="30:31" ht="13">
      <c r="AD951" s="3"/>
      <c r="AE951" s="3"/>
    </row>
    <row r="952" spans="30:31" ht="13">
      <c r="AD952" s="3"/>
      <c r="AE952" s="3"/>
    </row>
    <row r="953" spans="30:31" ht="13">
      <c r="AD953" s="3"/>
      <c r="AE953" s="3"/>
    </row>
    <row r="954" spans="30:31" ht="13">
      <c r="AD954" s="3"/>
      <c r="AE954" s="3"/>
    </row>
    <row r="955" spans="30:31" ht="13">
      <c r="AD955" s="3"/>
      <c r="AE955" s="3"/>
    </row>
    <row r="956" spans="30:31" ht="13">
      <c r="AD956" s="3"/>
      <c r="AE956" s="3"/>
    </row>
    <row r="957" spans="30:31" ht="13">
      <c r="AD957" s="3"/>
      <c r="AE957" s="3"/>
    </row>
    <row r="958" spans="30:31" ht="13">
      <c r="AD958" s="3"/>
      <c r="AE958" s="3"/>
    </row>
    <row r="959" spans="30:31" ht="13">
      <c r="AD959" s="3"/>
      <c r="AE959" s="3"/>
    </row>
    <row r="960" spans="30:31" ht="13">
      <c r="AD960" s="3"/>
      <c r="AE960" s="3"/>
    </row>
    <row r="961" spans="30:31" ht="13">
      <c r="AD961" s="3"/>
      <c r="AE961" s="3"/>
    </row>
    <row r="962" spans="30:31" ht="13">
      <c r="AD962" s="3"/>
      <c r="AE962" s="3"/>
    </row>
    <row r="963" spans="30:31" ht="13">
      <c r="AD963" s="3"/>
      <c r="AE963" s="3"/>
    </row>
    <row r="964" spans="30:31" ht="13">
      <c r="AD964" s="3"/>
      <c r="AE964" s="3"/>
    </row>
    <row r="965" spans="30:31" ht="13">
      <c r="AD965" s="3"/>
      <c r="AE965" s="3"/>
    </row>
    <row r="966" spans="30:31" ht="13">
      <c r="AD966" s="3"/>
      <c r="AE966" s="3"/>
    </row>
    <row r="967" spans="30:31" ht="13">
      <c r="AD967" s="3"/>
      <c r="AE967" s="3"/>
    </row>
    <row r="968" spans="30:31" ht="13">
      <c r="AD968" s="3"/>
      <c r="AE968" s="3"/>
    </row>
    <row r="969" spans="30:31" ht="13">
      <c r="AD969" s="3"/>
      <c r="AE969" s="3"/>
    </row>
    <row r="970" spans="30:31" ht="13">
      <c r="AD970" s="3"/>
      <c r="AE970" s="3"/>
    </row>
    <row r="971" spans="30:31" ht="13">
      <c r="AD971" s="3"/>
      <c r="AE971" s="3"/>
    </row>
    <row r="972" spans="30:31" ht="13">
      <c r="AD972" s="3"/>
      <c r="AE972" s="3"/>
    </row>
    <row r="973" spans="30:31" ht="13">
      <c r="AD973" s="3"/>
      <c r="AE973" s="3"/>
    </row>
    <row r="974" spans="30:31" ht="13">
      <c r="AD974" s="3"/>
      <c r="AE974" s="3"/>
    </row>
    <row r="975" spans="30:31" ht="13">
      <c r="AD975" s="3"/>
      <c r="AE975" s="3"/>
    </row>
    <row r="976" spans="30:31" ht="13">
      <c r="AD976" s="3"/>
      <c r="AE976" s="3"/>
    </row>
    <row r="977" spans="30:31" ht="13">
      <c r="AD977" s="3"/>
      <c r="AE977" s="3"/>
    </row>
    <row r="978" spans="30:31" ht="13">
      <c r="AD978" s="3"/>
      <c r="AE978" s="3"/>
    </row>
    <row r="979" spans="30:31" ht="13">
      <c r="AD979" s="3"/>
      <c r="AE979" s="3"/>
    </row>
    <row r="980" spans="30:31" ht="13">
      <c r="AD980" s="3"/>
      <c r="AE980" s="3"/>
    </row>
    <row r="981" spans="30:31" ht="13">
      <c r="AD981" s="3"/>
      <c r="AE981" s="3"/>
    </row>
    <row r="982" spans="30:31" ht="13">
      <c r="AD982" s="3"/>
      <c r="AE982" s="3"/>
    </row>
    <row r="983" spans="30:31" ht="13">
      <c r="AD983" s="3"/>
      <c r="AE983" s="3"/>
    </row>
    <row r="984" spans="30:31" ht="13">
      <c r="AD984" s="3"/>
      <c r="AE984" s="3"/>
    </row>
    <row r="985" spans="30:31" ht="13">
      <c r="AD985" s="3"/>
      <c r="AE985" s="3"/>
    </row>
    <row r="986" spans="30:31" ht="13">
      <c r="AD986" s="3"/>
      <c r="AE986" s="3"/>
    </row>
    <row r="987" spans="30:31" ht="13">
      <c r="AD987" s="3"/>
      <c r="AE987" s="3"/>
    </row>
    <row r="988" spans="30:31" ht="13">
      <c r="AD988" s="3"/>
      <c r="AE988" s="3"/>
    </row>
    <row r="989" spans="30:31" ht="13">
      <c r="AD989" s="3"/>
      <c r="AE989" s="3"/>
    </row>
    <row r="990" spans="30:31" ht="13">
      <c r="AD990" s="3"/>
      <c r="AE990" s="3"/>
    </row>
    <row r="991" spans="30:31" ht="13">
      <c r="AD991" s="3"/>
      <c r="AE991" s="3"/>
    </row>
    <row r="992" spans="30:31" ht="13">
      <c r="AD992" s="3"/>
      <c r="AE992" s="3"/>
    </row>
    <row r="993" spans="30:31" ht="13">
      <c r="AD993" s="3"/>
      <c r="AE993" s="3"/>
    </row>
    <row r="994" spans="30:31" ht="13">
      <c r="AD994" s="3"/>
      <c r="AE994" s="3"/>
    </row>
    <row r="995" spans="30:31" ht="13">
      <c r="AD995" s="3"/>
      <c r="AE995" s="3"/>
    </row>
    <row r="996" spans="30:31" ht="13">
      <c r="AD996" s="3"/>
      <c r="AE996" s="3"/>
    </row>
    <row r="997" spans="30:31" ht="13">
      <c r="AD997" s="3"/>
      <c r="AE997" s="3"/>
    </row>
    <row r="998" spans="30:31" ht="13">
      <c r="AD998" s="3"/>
      <c r="AE998" s="3"/>
    </row>
    <row r="999" spans="30:31" ht="13">
      <c r="AD999" s="3"/>
      <c r="AE999" s="3"/>
    </row>
    <row r="1000" spans="30:31" ht="13">
      <c r="AD1000" s="3"/>
      <c r="AE1000" s="3"/>
    </row>
    <row r="1001" spans="30:31" ht="13">
      <c r="AD1001" s="3"/>
      <c r="AE1001" s="3"/>
    </row>
    <row r="1002" spans="30:31" ht="13">
      <c r="AD1002" s="3"/>
      <c r="AE1002" s="3"/>
    </row>
    <row r="1003" spans="30:31" ht="13">
      <c r="AD1003" s="3"/>
      <c r="AE1003" s="3"/>
    </row>
    <row r="1004" spans="30:31" ht="13">
      <c r="AD1004" s="3"/>
      <c r="AE1004" s="3"/>
    </row>
    <row r="1005" spans="30:31" ht="13">
      <c r="AD1005" s="3"/>
      <c r="AE1005" s="3"/>
    </row>
    <row r="1006" spans="30:31" ht="13">
      <c r="AD1006" s="3"/>
      <c r="AE1006" s="3"/>
    </row>
    <row r="1007" spans="30:31" ht="13">
      <c r="AD1007" s="3"/>
      <c r="AE1007" s="3"/>
    </row>
    <row r="1008" spans="30:31" ht="13">
      <c r="AD1008" s="3"/>
      <c r="AE1008" s="3"/>
    </row>
    <row r="1009" spans="30:31" ht="13">
      <c r="AD1009" s="3"/>
      <c r="AE1009" s="3"/>
    </row>
    <row r="1010" spans="30:31" ht="13">
      <c r="AD1010" s="3"/>
      <c r="AE1010" s="3"/>
    </row>
    <row r="1011" spans="30:31" ht="13">
      <c r="AD1011" s="3"/>
      <c r="AE1011" s="3"/>
    </row>
    <row r="1012" spans="30:31" ht="13">
      <c r="AD1012" s="3"/>
      <c r="AE1012" s="3"/>
    </row>
    <row r="1013" spans="30:31" ht="13">
      <c r="AD1013" s="3"/>
      <c r="AE1013" s="3"/>
    </row>
    <row r="1014" spans="30:31" ht="13">
      <c r="AD1014" s="3"/>
      <c r="AE1014" s="3"/>
    </row>
    <row r="1015" spans="30:31" ht="13">
      <c r="AD1015" s="3"/>
      <c r="AE1015" s="3"/>
    </row>
    <row r="1016" spans="30:31" ht="13">
      <c r="AD1016" s="3"/>
      <c r="AE1016" s="3"/>
    </row>
    <row r="1017" spans="30:31" ht="13">
      <c r="AD1017" s="3"/>
      <c r="AE1017" s="3"/>
    </row>
    <row r="1018" spans="30:31" ht="13">
      <c r="AD1018" s="3"/>
      <c r="AE1018" s="3"/>
    </row>
    <row r="1019" spans="30:31" ht="13">
      <c r="AD1019" s="3"/>
      <c r="AE1019" s="3"/>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A7840-0591-ED48-9D54-B69672DC94B8}">
  <sheetPr>
    <outlinePr summaryBelow="0" summaryRight="0"/>
  </sheetPr>
  <dimension ref="A1:AJ1044"/>
  <sheetViews>
    <sheetView topLeftCell="G1" zoomScale="140" zoomScaleNormal="140" workbookViewId="0">
      <pane ySplit="1" topLeftCell="A40" activePane="bottomLeft" state="frozen"/>
      <selection pane="bottomLeft" activeCell="AJ8" sqref="AJ8"/>
    </sheetView>
  </sheetViews>
  <sheetFormatPr baseColWidth="10" defaultColWidth="12.6640625" defaultRowHeight="15.75" customHeight="1"/>
  <cols>
    <col min="1" max="1" width="4.33203125" customWidth="1"/>
    <col min="2" max="16" width="3.1640625" customWidth="1"/>
    <col min="17" max="18" width="3.83203125" customWidth="1"/>
    <col min="19" max="19" width="4.1640625" customWidth="1"/>
    <col min="20" max="20" width="2.1640625" customWidth="1"/>
    <col min="21" max="21" width="3.1640625" customWidth="1"/>
    <col min="22" max="22" width="4.33203125" customWidth="1"/>
    <col min="23" max="23" width="1.5" customWidth="1"/>
    <col min="24" max="24" width="3.1640625" customWidth="1"/>
    <col min="25" max="25" width="4.1640625" customWidth="1"/>
    <col min="26" max="26" width="1.6640625" customWidth="1"/>
    <col min="27" max="27" width="3.1640625" customWidth="1"/>
    <col min="28" max="28" width="4.1640625" customWidth="1"/>
    <col min="29" max="29" width="1.6640625" customWidth="1"/>
    <col min="30" max="30" width="3.1640625" customWidth="1"/>
    <col min="31" max="31" width="4.1640625" customWidth="1"/>
    <col min="32" max="32" width="2" customWidth="1"/>
    <col min="33" max="33" width="3.5" customWidth="1"/>
    <col min="34" max="35" width="4.1640625" customWidth="1"/>
    <col min="36" max="36" width="5.33203125" customWidth="1"/>
  </cols>
  <sheetData>
    <row r="1" spans="1:36" ht="21" customHeight="1">
      <c r="A1" s="42" t="s">
        <v>34</v>
      </c>
      <c r="B1" s="41"/>
      <c r="C1" s="41"/>
      <c r="D1" s="41"/>
      <c r="E1" s="41"/>
      <c r="F1" s="41"/>
      <c r="G1" s="41"/>
      <c r="H1" s="41"/>
      <c r="I1" s="41"/>
      <c r="J1" s="41"/>
      <c r="K1" s="41"/>
      <c r="L1" s="41"/>
      <c r="M1" s="41"/>
      <c r="N1" s="41"/>
      <c r="O1" s="41"/>
      <c r="P1" s="41"/>
      <c r="Q1" s="41"/>
      <c r="R1" s="41"/>
      <c r="S1" s="41"/>
      <c r="T1" s="41"/>
      <c r="U1" s="41"/>
      <c r="V1" s="41"/>
      <c r="W1" s="41"/>
      <c r="X1" s="41"/>
      <c r="Y1" s="41"/>
      <c r="Z1" s="41"/>
      <c r="AA1" s="41"/>
      <c r="AB1" s="41"/>
      <c r="AC1" s="41"/>
      <c r="AD1" s="41"/>
      <c r="AE1" s="41"/>
      <c r="AF1" s="41"/>
      <c r="AG1" s="41"/>
      <c r="AH1" s="41"/>
      <c r="AI1" s="41"/>
      <c r="AJ1" s="41"/>
    </row>
    <row r="2" spans="1:36" ht="21" customHeight="1">
      <c r="A2" s="42"/>
      <c r="B2" s="41"/>
      <c r="C2" s="41"/>
      <c r="D2" s="41"/>
      <c r="E2" s="41"/>
      <c r="F2" s="41"/>
      <c r="G2" s="41"/>
      <c r="H2" s="41"/>
      <c r="I2" s="41"/>
      <c r="J2" s="41"/>
      <c r="K2" s="41"/>
      <c r="L2" s="41"/>
      <c r="M2" s="41"/>
      <c r="N2" s="41"/>
      <c r="O2" s="41"/>
      <c r="P2" s="41"/>
      <c r="Q2" s="41"/>
      <c r="R2" s="41"/>
      <c r="S2" s="41"/>
      <c r="T2" s="41"/>
      <c r="U2" s="41"/>
      <c r="V2" s="41"/>
      <c r="W2" s="41"/>
      <c r="X2" s="41"/>
      <c r="Y2" s="41"/>
      <c r="Z2" s="41"/>
      <c r="AA2" s="41"/>
      <c r="AB2" s="41"/>
      <c r="AC2" s="41"/>
      <c r="AD2" s="41"/>
      <c r="AE2" s="41"/>
      <c r="AF2" s="41"/>
      <c r="AG2" s="41"/>
      <c r="AH2" s="41"/>
      <c r="AI2" s="41"/>
      <c r="AJ2" s="41"/>
    </row>
    <row r="3" spans="1:36" ht="13">
      <c r="A3" s="68" t="s">
        <v>43</v>
      </c>
      <c r="B3" s="70"/>
      <c r="C3" s="2"/>
      <c r="D3" s="2"/>
      <c r="E3" s="3">
        <v>8</v>
      </c>
      <c r="F3" s="70"/>
      <c r="G3" s="2"/>
      <c r="H3" s="2"/>
      <c r="I3" s="2"/>
      <c r="N3" s="1" t="s">
        <v>0</v>
      </c>
      <c r="Q3" s="2" t="s">
        <v>1</v>
      </c>
      <c r="R3" s="3">
        <v>1</v>
      </c>
      <c r="S3" s="3"/>
      <c r="T3" s="3"/>
      <c r="U3" s="3">
        <v>2</v>
      </c>
      <c r="V3" s="3"/>
      <c r="W3" s="3"/>
      <c r="X3" s="3">
        <v>3</v>
      </c>
      <c r="Y3" s="3"/>
      <c r="Z3" s="3"/>
      <c r="AA3" s="3">
        <v>4</v>
      </c>
      <c r="AD3" s="3">
        <v>5</v>
      </c>
      <c r="AG3" s="3">
        <v>6</v>
      </c>
    </row>
    <row r="4" spans="1:36" ht="13">
      <c r="A4" s="68" t="s">
        <v>44</v>
      </c>
      <c r="B4" s="2"/>
      <c r="C4" s="2"/>
      <c r="D4" s="2"/>
      <c r="E4" s="3">
        <v>10</v>
      </c>
      <c r="F4" s="2"/>
      <c r="G4" s="2"/>
      <c r="H4" s="2"/>
      <c r="I4" s="2"/>
    </row>
    <row r="5" spans="1:36" ht="13">
      <c r="A5" s="68" t="s">
        <v>45</v>
      </c>
      <c r="D5" s="3"/>
      <c r="E5" s="36">
        <v>6</v>
      </c>
      <c r="I5" s="3"/>
      <c r="N5" s="1" t="s">
        <v>2</v>
      </c>
      <c r="O5" s="3"/>
      <c r="P5" s="3"/>
      <c r="Q5" s="3"/>
      <c r="R5" s="3" t="s">
        <v>3</v>
      </c>
      <c r="T5" s="3"/>
      <c r="U5" s="3" t="s">
        <v>4</v>
      </c>
      <c r="W5" s="3"/>
      <c r="X5" s="3" t="s">
        <v>5</v>
      </c>
      <c r="Z5" s="3"/>
      <c r="AA5" s="3" t="s">
        <v>6</v>
      </c>
      <c r="AC5" s="3"/>
      <c r="AD5" s="3" t="s">
        <v>47</v>
      </c>
      <c r="AF5" s="3"/>
      <c r="AG5" s="3" t="s">
        <v>46</v>
      </c>
      <c r="AI5" s="3"/>
    </row>
    <row r="6" spans="1:36" ht="13">
      <c r="A6" s="68" t="s">
        <v>42</v>
      </c>
      <c r="C6" s="3"/>
      <c r="D6" s="3"/>
      <c r="E6" s="3">
        <v>6</v>
      </c>
      <c r="G6" s="3"/>
      <c r="I6" s="3"/>
      <c r="N6" s="3"/>
      <c r="O6" s="3"/>
      <c r="P6" s="3"/>
      <c r="Q6" s="3"/>
      <c r="R6" s="3"/>
      <c r="S6" s="4">
        <v>2</v>
      </c>
      <c r="V6" s="4">
        <v>1</v>
      </c>
      <c r="W6" s="3"/>
      <c r="X6" s="3"/>
      <c r="Y6" s="4">
        <v>1</v>
      </c>
      <c r="AB6" s="4">
        <v>1</v>
      </c>
      <c r="AE6" s="4">
        <v>1</v>
      </c>
      <c r="AF6" s="3"/>
      <c r="AH6" s="4">
        <v>1</v>
      </c>
      <c r="AI6" s="3"/>
      <c r="AJ6" s="3"/>
    </row>
    <row r="7" spans="1:36" ht="13">
      <c r="B7" s="68"/>
      <c r="G7" s="3"/>
      <c r="H7" s="3"/>
      <c r="I7" s="3"/>
      <c r="N7" s="3"/>
      <c r="O7" s="3"/>
      <c r="P7" s="3"/>
      <c r="Q7" s="3"/>
      <c r="R7" s="3"/>
      <c r="S7" s="4">
        <v>-1</v>
      </c>
      <c r="V7" s="4">
        <v>0</v>
      </c>
      <c r="W7" s="3"/>
      <c r="X7" s="3"/>
      <c r="Y7" s="4">
        <v>1</v>
      </c>
      <c r="AB7" s="4">
        <v>2</v>
      </c>
      <c r="AE7" s="4">
        <v>2</v>
      </c>
      <c r="AF7" s="3"/>
      <c r="AH7" s="4">
        <v>0</v>
      </c>
      <c r="AI7" s="3"/>
      <c r="AJ7" s="3"/>
    </row>
    <row r="8" spans="1:36" ht="13">
      <c r="B8" s="68"/>
      <c r="G8" s="3"/>
      <c r="H8" s="3"/>
      <c r="I8" s="3"/>
      <c r="N8" s="3"/>
      <c r="O8" s="3"/>
      <c r="P8" s="3"/>
      <c r="Q8" s="3"/>
      <c r="R8" s="3"/>
      <c r="S8" s="4">
        <v>0</v>
      </c>
      <c r="V8" s="4">
        <v>1</v>
      </c>
      <c r="W8" s="3"/>
      <c r="X8" s="3"/>
      <c r="Y8" s="4">
        <v>0</v>
      </c>
      <c r="AB8" s="4">
        <v>-1</v>
      </c>
      <c r="AE8" s="4">
        <v>2</v>
      </c>
      <c r="AF8" s="3"/>
      <c r="AH8" s="4">
        <v>1</v>
      </c>
      <c r="AI8" s="3"/>
      <c r="AJ8" s="3"/>
    </row>
    <row r="9" spans="1:36" ht="13">
      <c r="G9" s="3"/>
      <c r="H9" s="3"/>
      <c r="I9" s="3"/>
      <c r="N9" s="3"/>
      <c r="O9" s="3"/>
      <c r="P9" s="3"/>
      <c r="Q9" s="3"/>
      <c r="R9" s="3"/>
      <c r="S9" s="4">
        <v>0</v>
      </c>
      <c r="V9" s="4">
        <v>1</v>
      </c>
      <c r="W9" s="3"/>
      <c r="X9" s="3"/>
      <c r="Y9" s="4">
        <v>0</v>
      </c>
      <c r="AB9" s="4">
        <v>-1</v>
      </c>
      <c r="AE9" s="4">
        <v>0</v>
      </c>
      <c r="AF9" s="3"/>
      <c r="AH9" s="4">
        <v>2</v>
      </c>
      <c r="AI9" s="3"/>
      <c r="AJ9" s="3"/>
    </row>
    <row r="10" spans="1:36" ht="13">
      <c r="G10" s="3"/>
      <c r="H10" s="3"/>
      <c r="I10" s="3"/>
      <c r="N10" s="3"/>
      <c r="O10" s="3"/>
      <c r="P10" s="3"/>
      <c r="Q10" s="3"/>
      <c r="R10" s="3"/>
      <c r="S10" s="4">
        <v>0</v>
      </c>
      <c r="V10" s="4">
        <v>1</v>
      </c>
      <c r="W10" s="3"/>
      <c r="X10" s="3"/>
      <c r="Y10" s="4">
        <v>0</v>
      </c>
      <c r="AB10" s="4">
        <v>-1</v>
      </c>
      <c r="AE10" s="4">
        <v>0</v>
      </c>
      <c r="AF10" s="3"/>
      <c r="AH10" s="4">
        <v>0</v>
      </c>
      <c r="AI10" s="3"/>
      <c r="AJ10" s="3"/>
    </row>
    <row r="11" spans="1:36" ht="13">
      <c r="G11" s="3"/>
      <c r="H11" s="3"/>
      <c r="I11" s="3"/>
      <c r="N11" s="3"/>
      <c r="O11" s="3"/>
      <c r="P11" s="3"/>
      <c r="Q11" s="3"/>
      <c r="R11" s="3"/>
      <c r="S11" s="4">
        <v>0</v>
      </c>
      <c r="V11" s="4">
        <v>1</v>
      </c>
      <c r="W11" s="3"/>
      <c r="X11" s="3"/>
      <c r="Y11" s="4">
        <v>0</v>
      </c>
      <c r="AB11" s="4">
        <v>-1</v>
      </c>
      <c r="AE11" s="4">
        <v>0</v>
      </c>
      <c r="AF11" s="3"/>
      <c r="AH11" s="4">
        <v>1</v>
      </c>
      <c r="AI11" s="3"/>
      <c r="AJ11" s="3"/>
    </row>
    <row r="12" spans="1:36" ht="13">
      <c r="G12" s="3"/>
      <c r="H12" s="3"/>
      <c r="I12" s="3"/>
      <c r="N12" s="3"/>
      <c r="O12" s="3"/>
      <c r="P12" s="3"/>
      <c r="Q12" s="3"/>
      <c r="R12" s="3"/>
      <c r="S12" s="4">
        <v>0</v>
      </c>
      <c r="V12" s="4">
        <v>1</v>
      </c>
      <c r="W12" s="3"/>
      <c r="X12" s="3"/>
      <c r="Y12" s="4">
        <v>0</v>
      </c>
      <c r="AB12" s="4">
        <v>-1</v>
      </c>
      <c r="AE12" s="4">
        <v>1</v>
      </c>
      <c r="AF12" s="3"/>
      <c r="AH12" s="4">
        <v>0</v>
      </c>
      <c r="AI12" s="3"/>
      <c r="AJ12" s="3"/>
    </row>
    <row r="13" spans="1:36" ht="13">
      <c r="G13" s="3"/>
      <c r="H13" s="3"/>
      <c r="I13" s="3"/>
      <c r="N13" s="3"/>
      <c r="O13" s="3"/>
      <c r="P13" s="3"/>
      <c r="Q13" s="3"/>
      <c r="R13" s="3"/>
      <c r="S13" s="39">
        <v>1</v>
      </c>
      <c r="V13" s="39">
        <v>0</v>
      </c>
      <c r="W13" s="3"/>
      <c r="X13" s="3"/>
      <c r="Y13" s="39">
        <v>0</v>
      </c>
      <c r="AB13" s="39">
        <v>2</v>
      </c>
      <c r="AE13" s="39">
        <v>0</v>
      </c>
      <c r="AF13" s="3"/>
      <c r="AH13" s="39">
        <v>1</v>
      </c>
      <c r="AI13" s="3"/>
      <c r="AJ13" s="3"/>
    </row>
    <row r="14" spans="1:36" ht="13">
      <c r="A14" s="5"/>
      <c r="B14" s="5"/>
      <c r="C14" s="5"/>
      <c r="D14" s="5"/>
      <c r="E14" s="5"/>
      <c r="F14" s="5"/>
      <c r="H14" s="3"/>
      <c r="N14" s="5" t="s">
        <v>7</v>
      </c>
      <c r="O14" s="3"/>
      <c r="P14" s="3"/>
      <c r="Q14" s="3"/>
      <c r="R14" s="3" t="s">
        <v>8</v>
      </c>
      <c r="S14" s="40">
        <v>0</v>
      </c>
      <c r="U14" s="3" t="s">
        <v>9</v>
      </c>
      <c r="V14" s="40">
        <f>S31</f>
        <v>0.99932929973906692</v>
      </c>
      <c r="W14" s="3"/>
      <c r="X14" s="3" t="s">
        <v>10</v>
      </c>
      <c r="Y14" s="40">
        <f>V31</f>
        <v>0.99927735073811652</v>
      </c>
      <c r="Z14" s="3"/>
      <c r="AA14" s="3" t="s">
        <v>11</v>
      </c>
      <c r="AB14" s="40">
        <f>Y31</f>
        <v>0.99815815900919547</v>
      </c>
      <c r="AC14" s="3"/>
      <c r="AD14" s="3" t="s">
        <v>20</v>
      </c>
      <c r="AE14" s="40">
        <f>AB31</f>
        <v>0.99999994653002799</v>
      </c>
      <c r="AF14" s="3"/>
      <c r="AG14" s="3" t="s">
        <v>48</v>
      </c>
      <c r="AH14" s="40">
        <f>AE31</f>
        <v>0.99936272232463363</v>
      </c>
      <c r="AI14" s="3"/>
      <c r="AJ14" s="3"/>
    </row>
    <row r="15" spans="1:36" ht="13">
      <c r="A15" s="5"/>
      <c r="B15" s="5"/>
      <c r="C15" s="5"/>
      <c r="D15" s="5"/>
      <c r="E15" s="5"/>
      <c r="F15" s="5"/>
      <c r="H15" s="3"/>
      <c r="N15" s="5"/>
      <c r="O15" s="3"/>
      <c r="P15" s="3"/>
      <c r="Q15" s="3"/>
      <c r="R15" s="3"/>
      <c r="S15" s="40">
        <v>0</v>
      </c>
      <c r="U15" s="3"/>
      <c r="V15" s="40">
        <f t="shared" ref="V15:V17" si="0">S32</f>
        <v>-0.76159415595576485</v>
      </c>
      <c r="W15" s="3"/>
      <c r="X15" s="3"/>
      <c r="Y15" s="40">
        <f t="shared" ref="Y15:Y17" si="1">V32</f>
        <v>0.99990243158805026</v>
      </c>
      <c r="Z15" s="3"/>
      <c r="AA15" s="3"/>
      <c r="AB15" s="40">
        <f t="shared" ref="AB15:AB17" si="2">Y32</f>
        <v>4.975593294808592E-3</v>
      </c>
      <c r="AC15" s="3"/>
      <c r="AD15" s="3"/>
      <c r="AE15" s="40">
        <f t="shared" ref="AE15:AE17" si="3">AB32</f>
        <v>-0.9468170155929182</v>
      </c>
      <c r="AF15" s="3"/>
      <c r="AG15" s="3"/>
      <c r="AH15" s="40">
        <f t="shared" ref="AH15:AH17" si="4">AE32</f>
        <v>0.99989932710479446</v>
      </c>
      <c r="AI15" s="3"/>
      <c r="AJ15" s="3"/>
    </row>
    <row r="16" spans="1:36" ht="13">
      <c r="A16" s="5"/>
      <c r="B16" s="5"/>
      <c r="C16" s="5"/>
      <c r="D16" s="5"/>
      <c r="E16" s="5"/>
      <c r="F16" s="5"/>
      <c r="H16" s="3"/>
      <c r="N16" s="5"/>
      <c r="O16" s="3"/>
      <c r="P16" s="3"/>
      <c r="Q16" s="3"/>
      <c r="R16" s="3"/>
      <c r="S16" s="40">
        <v>0</v>
      </c>
      <c r="U16" s="3"/>
      <c r="V16" s="40">
        <f t="shared" si="0"/>
        <v>0.76159415595576485</v>
      </c>
      <c r="W16" s="3"/>
      <c r="X16" s="3"/>
      <c r="Y16" s="40">
        <f t="shared" si="1"/>
        <v>0.99883923596754132</v>
      </c>
      <c r="Z16" s="3"/>
      <c r="AA16" s="3"/>
      <c r="AB16" s="40">
        <f t="shared" si="2"/>
        <v>0.99507991252818306</v>
      </c>
      <c r="AC16" s="3"/>
      <c r="AD16" s="3"/>
      <c r="AE16" s="40">
        <f t="shared" si="3"/>
        <v>0.97550374173012133</v>
      </c>
      <c r="AF16" s="3"/>
      <c r="AG16" s="3"/>
      <c r="AH16" s="40">
        <f t="shared" si="4"/>
        <v>0.99926256554001103</v>
      </c>
      <c r="AI16" s="3"/>
      <c r="AJ16" s="3"/>
    </row>
    <row r="17" spans="1:36" ht="13">
      <c r="A17" s="5"/>
      <c r="B17" s="5"/>
      <c r="C17" s="5"/>
      <c r="D17" s="5"/>
      <c r="E17" s="5"/>
      <c r="F17" s="5"/>
      <c r="H17" s="3"/>
      <c r="N17" s="5"/>
      <c r="O17" s="3"/>
      <c r="P17" s="3"/>
      <c r="Q17" s="3"/>
      <c r="R17" s="3"/>
      <c r="S17" s="40">
        <v>0</v>
      </c>
      <c r="U17" s="3"/>
      <c r="V17" s="40">
        <f t="shared" si="0"/>
        <v>0.99932929973906692</v>
      </c>
      <c r="W17" s="3"/>
      <c r="X17" s="3"/>
      <c r="Y17" s="40">
        <f t="shared" si="1"/>
        <v>-0.50834989944641562</v>
      </c>
      <c r="Z17" s="3"/>
      <c r="AA17" s="3"/>
      <c r="AB17" s="40">
        <f t="shared" si="2"/>
        <v>0.75654273933495408</v>
      </c>
      <c r="AC17" s="3"/>
      <c r="AD17" s="3"/>
      <c r="AE17" s="40">
        <f t="shared" si="3"/>
        <v>0.99997861293651025</v>
      </c>
      <c r="AF17" s="3"/>
      <c r="AG17" s="3"/>
      <c r="AH17" s="40">
        <f t="shared" si="4"/>
        <v>-0.73765305319018015</v>
      </c>
      <c r="AI17" s="3"/>
      <c r="AJ17" s="3"/>
    </row>
    <row r="18" spans="1:36" ht="13">
      <c r="A18" s="5"/>
      <c r="B18" s="5"/>
      <c r="C18" s="5"/>
      <c r="D18" s="5"/>
      <c r="E18" s="5"/>
      <c r="F18" s="5"/>
      <c r="H18" s="3"/>
      <c r="I18" s="3"/>
      <c r="J18" s="3"/>
      <c r="K18" s="3"/>
      <c r="L18" s="3"/>
      <c r="M18" s="3"/>
      <c r="N18" s="3"/>
      <c r="O18" s="3"/>
      <c r="P18" s="3"/>
      <c r="Q18" s="3"/>
      <c r="R18" s="3"/>
      <c r="S18" s="40">
        <v>0</v>
      </c>
      <c r="T18" s="6"/>
      <c r="U18" s="7"/>
      <c r="V18" s="40">
        <f>S35</f>
        <v>-0.76159415595576485</v>
      </c>
      <c r="W18" s="6"/>
      <c r="X18" s="7"/>
      <c r="Y18" s="40">
        <f>V35</f>
        <v>0.99993943236914828</v>
      </c>
      <c r="Z18" s="6"/>
      <c r="AA18" s="7"/>
      <c r="AB18" s="40">
        <f>Y35</f>
        <v>-0.7590206427231786</v>
      </c>
      <c r="AC18" s="3"/>
      <c r="AD18" s="7"/>
      <c r="AE18" s="40">
        <f>AB35</f>
        <v>-0.99535311804591431</v>
      </c>
      <c r="AF18" s="3"/>
      <c r="AG18" s="7"/>
      <c r="AH18" s="40">
        <f>AE35</f>
        <v>0.99991300777743042</v>
      </c>
      <c r="AI18" s="3"/>
      <c r="AJ18" s="3"/>
    </row>
    <row r="19" spans="1:36" ht="13">
      <c r="A19" s="5"/>
      <c r="B19" s="5"/>
      <c r="C19" s="5"/>
      <c r="D19" s="5"/>
      <c r="E19" s="5"/>
      <c r="F19" s="5"/>
      <c r="H19" s="3"/>
      <c r="I19" s="3"/>
      <c r="J19" s="3"/>
      <c r="K19" s="3"/>
      <c r="L19" s="3"/>
      <c r="M19" s="3"/>
      <c r="N19" s="3"/>
      <c r="O19" s="3"/>
      <c r="P19" s="3"/>
      <c r="Q19" s="3"/>
      <c r="R19" s="3"/>
      <c r="S19" s="40">
        <v>0</v>
      </c>
      <c r="T19" s="6"/>
      <c r="U19" s="6"/>
      <c r="V19" s="40">
        <f>S36</f>
        <v>0.96402758007581701</v>
      </c>
      <c r="W19" s="6"/>
      <c r="X19" s="3"/>
      <c r="Y19" s="40">
        <f>V36</f>
        <v>-0.99506136642620702</v>
      </c>
      <c r="Z19" s="6"/>
      <c r="AA19" s="3"/>
      <c r="AB19" s="40">
        <f>Y36</f>
        <v>0.96388997852092517</v>
      </c>
      <c r="AC19" s="3"/>
      <c r="AD19" s="3"/>
      <c r="AE19" s="40">
        <f>AB36</f>
        <v>0.99690150300965796</v>
      </c>
      <c r="AF19" s="3"/>
      <c r="AG19" s="3"/>
      <c r="AH19" s="40">
        <f>AE36</f>
        <v>-0.99524677109355042</v>
      </c>
      <c r="AI19" s="3"/>
      <c r="AJ19" s="3"/>
    </row>
    <row r="20" spans="1:36" ht="13">
      <c r="A20" s="5"/>
      <c r="B20" s="5"/>
      <c r="C20" s="5"/>
      <c r="D20" s="5"/>
      <c r="E20" s="5"/>
      <c r="F20" s="5"/>
      <c r="H20" s="3"/>
      <c r="I20" s="3"/>
      <c r="J20" s="3"/>
      <c r="K20" s="3"/>
      <c r="L20" s="3"/>
      <c r="M20" s="3"/>
      <c r="N20" s="3"/>
      <c r="O20" s="3"/>
      <c r="P20" s="3"/>
      <c r="Q20" s="3"/>
      <c r="R20" s="3"/>
      <c r="S20" s="3">
        <v>1</v>
      </c>
      <c r="T20" s="6"/>
      <c r="U20" s="6"/>
      <c r="V20" s="3">
        <v>1</v>
      </c>
      <c r="W20" s="6"/>
      <c r="X20" s="3"/>
      <c r="Y20" s="3">
        <v>1</v>
      </c>
      <c r="Z20" s="6"/>
      <c r="AA20" s="3"/>
      <c r="AB20" s="3">
        <v>1</v>
      </c>
      <c r="AC20" s="3"/>
      <c r="AD20" s="3"/>
      <c r="AE20" s="3">
        <v>1</v>
      </c>
      <c r="AF20" s="3"/>
      <c r="AG20" s="3"/>
      <c r="AH20" s="3">
        <v>1</v>
      </c>
      <c r="AI20" s="3"/>
      <c r="AJ20" s="3"/>
    </row>
    <row r="21" spans="1:36" ht="13">
      <c r="B21" s="3"/>
      <c r="C21" s="3"/>
      <c r="D21" s="3"/>
      <c r="E21" s="3"/>
      <c r="F21" s="3"/>
      <c r="G21" s="3"/>
      <c r="H21" s="3"/>
      <c r="J21" s="3"/>
      <c r="K21" s="3"/>
      <c r="L21" s="3"/>
      <c r="M21" s="3"/>
      <c r="N21" s="3"/>
      <c r="O21" s="3"/>
      <c r="P21" s="3"/>
      <c r="S21" s="3" t="s">
        <v>12</v>
      </c>
      <c r="T21" s="6"/>
      <c r="U21" s="8"/>
      <c r="V21" s="3" t="s">
        <v>12</v>
      </c>
      <c r="W21" s="6"/>
      <c r="Y21" s="3" t="s">
        <v>12</v>
      </c>
      <c r="Z21" s="6"/>
      <c r="AB21" s="3" t="s">
        <v>12</v>
      </c>
      <c r="AC21" s="3"/>
      <c r="AE21" s="3" t="s">
        <v>12</v>
      </c>
      <c r="AF21" s="3"/>
      <c r="AH21" s="3" t="s">
        <v>12</v>
      </c>
      <c r="AI21" s="3"/>
      <c r="AJ21" s="3"/>
    </row>
    <row r="22" spans="1:36" ht="13">
      <c r="B22" s="9" t="s">
        <v>13</v>
      </c>
      <c r="C22" s="9"/>
      <c r="D22" s="9"/>
      <c r="E22" s="9"/>
      <c r="F22" s="9"/>
      <c r="G22" s="3"/>
      <c r="H22" s="3"/>
      <c r="I22" s="2"/>
      <c r="J22" s="9" t="s">
        <v>14</v>
      </c>
      <c r="K22" s="9"/>
      <c r="L22" s="9"/>
      <c r="M22" s="9"/>
      <c r="N22" s="3"/>
      <c r="O22" s="3"/>
      <c r="P22" s="9" t="s">
        <v>15</v>
      </c>
      <c r="Q22" s="2"/>
      <c r="R22" s="10" t="s">
        <v>35</v>
      </c>
      <c r="T22" s="6"/>
      <c r="U22" s="8"/>
      <c r="W22" s="6"/>
      <c r="Z22" s="6"/>
      <c r="AC22" s="3"/>
      <c r="AF22" s="3"/>
      <c r="AI22" s="3"/>
      <c r="AJ22" s="3"/>
    </row>
    <row r="23" spans="1:36" ht="13">
      <c r="B23" s="55">
        <v>1</v>
      </c>
      <c r="C23" s="56">
        <v>0</v>
      </c>
      <c r="D23" s="56">
        <v>0</v>
      </c>
      <c r="E23" s="56">
        <v>0</v>
      </c>
      <c r="F23" s="56">
        <v>0</v>
      </c>
      <c r="G23" s="56">
        <v>0</v>
      </c>
      <c r="H23" s="56">
        <v>-1</v>
      </c>
      <c r="I23" s="56">
        <v>1</v>
      </c>
      <c r="J23" s="57">
        <v>1</v>
      </c>
      <c r="K23" s="57">
        <v>1</v>
      </c>
      <c r="L23" s="57">
        <v>1</v>
      </c>
      <c r="M23" s="57">
        <v>1</v>
      </c>
      <c r="N23" s="57">
        <v>0</v>
      </c>
      <c r="O23" s="57">
        <v>1</v>
      </c>
      <c r="P23" s="58">
        <v>1</v>
      </c>
      <c r="Q23" s="3" t="s">
        <v>16</v>
      </c>
      <c r="R23" s="2" t="s">
        <v>36</v>
      </c>
      <c r="S23" s="45" cm="1">
        <f t="array" ref="S23">MMULT($B23:$P23,S$6:S$20)</f>
        <v>4</v>
      </c>
      <c r="T23" s="6"/>
      <c r="U23" s="3" t="s">
        <v>37</v>
      </c>
      <c r="V23" s="45" cm="1">
        <f t="array" ref="V23">MMULT($B23:$P23,V$6:V$20)</f>
        <v>3.962686179553951</v>
      </c>
      <c r="W23" s="6"/>
      <c r="X23" s="3" t="s">
        <v>38</v>
      </c>
      <c r="Y23" s="45" cm="1">
        <f t="array" ref="Y23">MMULT($B23:$P23,Y$6:Y$20)</f>
        <v>3.4946077524210857</v>
      </c>
      <c r="Z23" s="6"/>
      <c r="AA23" s="3" t="s">
        <v>39</v>
      </c>
      <c r="AB23" s="45" cm="1">
        <f t="array" ref="AB23">MMULT($B23:$P23,AB$6:AB$20)</f>
        <v>8.7186463826880658</v>
      </c>
      <c r="AC23" s="3"/>
      <c r="AD23" s="3" t="s">
        <v>50</v>
      </c>
      <c r="AE23" s="45" cm="1">
        <f t="array" ref="AE23">MMULT($B23:$P23,AE$6:AE$20)</f>
        <v>4.0255667886133999</v>
      </c>
      <c r="AG23" s="3" t="s">
        <v>49</v>
      </c>
      <c r="AH23" s="45" cm="1">
        <f t="array" ref="AH23">MMULT($B23:$P23,AH$6:AH$20)</f>
        <v>4.2656247906857079</v>
      </c>
      <c r="AI23" s="3"/>
    </row>
    <row r="24" spans="1:36" ht="13">
      <c r="B24" s="59">
        <v>0</v>
      </c>
      <c r="C24" s="43">
        <v>1</v>
      </c>
      <c r="D24" s="43">
        <v>1</v>
      </c>
      <c r="E24" s="43">
        <v>1</v>
      </c>
      <c r="F24" s="43">
        <v>1</v>
      </c>
      <c r="G24" s="43">
        <v>1</v>
      </c>
      <c r="H24" s="43">
        <v>0</v>
      </c>
      <c r="I24" s="43">
        <v>0</v>
      </c>
      <c r="J24" s="16">
        <v>0</v>
      </c>
      <c r="K24" s="16">
        <v>-1</v>
      </c>
      <c r="L24" s="16">
        <v>0</v>
      </c>
      <c r="M24" s="16">
        <v>0</v>
      </c>
      <c r="N24" s="16">
        <v>1</v>
      </c>
      <c r="O24" s="16">
        <v>1</v>
      </c>
      <c r="P24" s="60">
        <v>0</v>
      </c>
      <c r="Q24" s="3" t="s">
        <v>16</v>
      </c>
      <c r="R24" s="2"/>
      <c r="S24" s="45" cm="1">
        <f t="array" ref="S24">MMULT($B24:$P24,S$6:S$20)</f>
        <v>-1</v>
      </c>
      <c r="T24" s="6"/>
      <c r="U24" s="3"/>
      <c r="V24" s="45" cm="1">
        <f t="array" ref="V24">MMULT($B24:$P24,V$6:V$20)</f>
        <v>4.9640275800758165</v>
      </c>
      <c r="W24" s="6"/>
      <c r="X24" s="3"/>
      <c r="Y24" s="45" cm="1">
        <f t="array" ref="Y24">MMULT($B24:$P24,Y$6:Y$20)</f>
        <v>4.975634354891123E-3</v>
      </c>
      <c r="Z24" s="6"/>
      <c r="AA24" s="3"/>
      <c r="AB24" s="45" cm="1">
        <f t="array" ref="AB24">MMULT($B24:$P24,AB$6:AB$20)</f>
        <v>-1.8001062574970623</v>
      </c>
      <c r="AC24" s="3"/>
      <c r="AD24" s="3"/>
      <c r="AE24" s="45" cm="1">
        <f t="array" ref="AE24">MMULT($B24:$P24,AE$6:AE$20)</f>
        <v>4.9483654005566624</v>
      </c>
      <c r="AG24" s="3"/>
      <c r="AH24" s="45" cm="1">
        <f t="array" ref="AH24">MMULT($B24:$P24,AH$6:AH$20)</f>
        <v>3.004766909579085</v>
      </c>
      <c r="AI24" s="3"/>
    </row>
    <row r="25" spans="1:36" ht="13">
      <c r="B25" s="59">
        <v>0</v>
      </c>
      <c r="C25" s="43">
        <v>0</v>
      </c>
      <c r="D25" s="43">
        <v>0</v>
      </c>
      <c r="E25" s="43">
        <v>0</v>
      </c>
      <c r="F25" s="43">
        <v>0</v>
      </c>
      <c r="G25" s="43">
        <v>0</v>
      </c>
      <c r="H25" s="43">
        <v>1</v>
      </c>
      <c r="I25" s="43">
        <v>0</v>
      </c>
      <c r="J25" s="16">
        <v>0</v>
      </c>
      <c r="K25" s="16">
        <v>0</v>
      </c>
      <c r="L25" s="16">
        <v>2</v>
      </c>
      <c r="M25" s="16">
        <v>0</v>
      </c>
      <c r="N25" s="16">
        <v>1</v>
      </c>
      <c r="O25" s="16">
        <v>1</v>
      </c>
      <c r="P25" s="60">
        <v>1</v>
      </c>
      <c r="Q25" s="3" t="s">
        <v>16</v>
      </c>
      <c r="R25" s="2"/>
      <c r="S25" s="45" cm="1">
        <f t="array" ref="S25">MMULT($B25:$P25,S$6:S$20)</f>
        <v>1</v>
      </c>
      <c r="T25" s="6"/>
      <c r="U25" s="3"/>
      <c r="V25" s="45" cm="1">
        <f t="array" ref="V25">MMULT($B25:$P25,V$6:V$20)</f>
        <v>3.7256217360315818</v>
      </c>
      <c r="W25" s="6"/>
      <c r="X25" s="3"/>
      <c r="Y25" s="45" cm="1">
        <f t="array" ref="Y25">MMULT($B25:$P25,Y$6:Y$20)</f>
        <v>3.0025565378780241</v>
      </c>
      <c r="Z25" s="6"/>
      <c r="AA25" s="3"/>
      <c r="AB25" s="45" cm="1">
        <f t="array" ref="AB25">MMULT($B25:$P25,AB$6:AB$20)</f>
        <v>2.1950291608541126</v>
      </c>
      <c r="AC25" s="3"/>
      <c r="AD25" s="3"/>
      <c r="AE25" s="45" cm="1">
        <f t="array" ref="AE25">MMULT($B25:$P25,AE$6:AE$20)</f>
        <v>3.9525558684239863</v>
      </c>
      <c r="AG25" s="3"/>
      <c r="AH25" s="45" cm="1">
        <f t="array" ref="AH25">MMULT($B25:$P25,AH$6:AH$20)</f>
        <v>3.0031913677639022</v>
      </c>
      <c r="AI25" s="3"/>
    </row>
    <row r="26" spans="1:36" ht="13">
      <c r="B26" s="59">
        <v>1</v>
      </c>
      <c r="C26" s="43">
        <v>-1</v>
      </c>
      <c r="D26" s="43">
        <v>-1</v>
      </c>
      <c r="E26" s="43">
        <v>-1</v>
      </c>
      <c r="F26" s="43">
        <v>-1</v>
      </c>
      <c r="G26" s="43">
        <v>-1</v>
      </c>
      <c r="H26" s="43">
        <v>0</v>
      </c>
      <c r="I26" s="43">
        <v>0</v>
      </c>
      <c r="J26" s="16">
        <v>0</v>
      </c>
      <c r="K26" s="16">
        <v>1</v>
      </c>
      <c r="L26" s="16">
        <v>0</v>
      </c>
      <c r="M26" s="16">
        <v>2</v>
      </c>
      <c r="N26" s="16">
        <v>1</v>
      </c>
      <c r="O26" s="16">
        <v>1</v>
      </c>
      <c r="P26" s="60">
        <v>1</v>
      </c>
      <c r="Q26" s="3" t="s">
        <v>16</v>
      </c>
      <c r="R26" s="2"/>
      <c r="S26" s="45" cm="1">
        <f t="array" ref="S26">MMULT($B26:$P26,S$6:S$20)</f>
        <v>4</v>
      </c>
      <c r="T26" s="6"/>
      <c r="U26" s="3"/>
      <c r="V26" s="45" cm="1">
        <f t="array" ref="V26">MMULT($B26:$P26,V$6:V$20)</f>
        <v>-0.56050213235757917</v>
      </c>
      <c r="W26" s="6"/>
      <c r="X26" s="3"/>
      <c r="Y26" s="45" cm="1">
        <f t="array" ref="Y26">MMULT($B26:$P26,Y$6:Y$20)</f>
        <v>0.98808069863816028</v>
      </c>
      <c r="Z26" s="6"/>
      <c r="AA26" s="3"/>
      <c r="AB26" s="45" cm="1">
        <f t="array" ref="AB26">MMULT($B26:$P26,AB$6:AB$20)</f>
        <v>5.7229304077624636</v>
      </c>
      <c r="AC26" s="3"/>
      <c r="AD26" s="3"/>
      <c r="AE26" s="45" cm="1">
        <f t="array" ref="AE26">MMULT($B26:$P26,AE$6:AE$20)</f>
        <v>-0.94531140475615438</v>
      </c>
      <c r="AG26" s="3"/>
      <c r="AH26" s="45" cm="1">
        <f t="array" ref="AH26">MMULT($B26:$P26,AH$6:AH$20)</f>
        <v>-2.4707405425916855</v>
      </c>
      <c r="AI26" s="3"/>
    </row>
    <row r="27" spans="1:36" ht="13">
      <c r="B27" s="61">
        <v>0</v>
      </c>
      <c r="C27" s="4">
        <v>1</v>
      </c>
      <c r="D27" s="4">
        <v>1</v>
      </c>
      <c r="E27" s="4">
        <v>1</v>
      </c>
      <c r="F27" s="4">
        <v>1</v>
      </c>
      <c r="G27" s="4">
        <v>1</v>
      </c>
      <c r="H27" s="4">
        <v>1</v>
      </c>
      <c r="I27" s="4">
        <v>0</v>
      </c>
      <c r="J27" s="16">
        <v>0</v>
      </c>
      <c r="K27" s="16">
        <v>0</v>
      </c>
      <c r="L27" s="16">
        <v>-1</v>
      </c>
      <c r="M27" s="16">
        <v>0</v>
      </c>
      <c r="N27" s="16">
        <v>0</v>
      </c>
      <c r="O27" s="16">
        <v>1</v>
      </c>
      <c r="P27" s="62">
        <v>0</v>
      </c>
      <c r="Q27" s="3" t="s">
        <v>16</v>
      </c>
      <c r="S27" s="45" cm="1">
        <f t="array" ref="S27">MMULT($B27:$P27,S$6:S$20)</f>
        <v>-1</v>
      </c>
      <c r="T27" s="6"/>
      <c r="U27" s="6"/>
      <c r="V27" s="45" cm="1">
        <f t="array" ref="V27">MMULT($B27:$P27,V$6:V$20)</f>
        <v>5.2024334241200529</v>
      </c>
      <c r="W27" s="6"/>
      <c r="X27" s="3"/>
      <c r="Y27" s="45" cm="1">
        <f t="array" ref="Y27">MMULT($B27:$P27,Y$6:Y$20)</f>
        <v>-0.99390060239374833</v>
      </c>
      <c r="Z27" s="6"/>
      <c r="AA27" s="3"/>
      <c r="AB27" s="45" cm="1">
        <f t="array" ref="AB27">MMULT($B27:$P27,AB$6:AB$20)</f>
        <v>-3.0311899340072581</v>
      </c>
      <c r="AC27" s="3"/>
      <c r="AD27" s="3"/>
      <c r="AE27" s="45" cm="1">
        <f t="array" ref="AE27">MMULT($B27:$P27,AE$6:AE$20)</f>
        <v>5.0213977612795366</v>
      </c>
      <c r="AF27" s="3"/>
      <c r="AG27" s="3"/>
      <c r="AH27" s="45" cm="1">
        <f t="array" ref="AH27">MMULT($B27:$P27,AH$6:AH$20)</f>
        <v>2.0054906633664382</v>
      </c>
      <c r="AI27" s="3"/>
      <c r="AJ27" s="3"/>
    </row>
    <row r="28" spans="1:36" ht="13">
      <c r="B28" s="63">
        <v>1</v>
      </c>
      <c r="C28" s="64">
        <v>-1</v>
      </c>
      <c r="D28" s="64">
        <v>-1</v>
      </c>
      <c r="E28" s="64">
        <v>-1</v>
      </c>
      <c r="F28" s="64">
        <v>-1</v>
      </c>
      <c r="G28" s="64">
        <v>-1</v>
      </c>
      <c r="H28" s="64">
        <v>0</v>
      </c>
      <c r="I28" s="64">
        <v>0</v>
      </c>
      <c r="J28" s="65">
        <v>1</v>
      </c>
      <c r="K28" s="65">
        <v>0</v>
      </c>
      <c r="L28" s="65">
        <v>1</v>
      </c>
      <c r="M28" s="65">
        <v>0</v>
      </c>
      <c r="N28" s="65">
        <v>1</v>
      </c>
      <c r="O28" s="65">
        <v>0</v>
      </c>
      <c r="P28" s="66">
        <v>-1</v>
      </c>
      <c r="Q28" s="3" t="s">
        <v>16</v>
      </c>
      <c r="S28" s="45" cm="1">
        <f t="array" ref="S28">MMULT($B28:$P28,S$6:S$20)</f>
        <v>2</v>
      </c>
      <c r="T28" s="6"/>
      <c r="U28" s="6"/>
      <c r="V28" s="45" cm="1">
        <f t="array" ref="V28">MMULT($B28:$P28,V$6:V$20)</f>
        <v>-3.0006707002609332</v>
      </c>
      <c r="W28" s="6"/>
      <c r="X28" s="3"/>
      <c r="Y28" s="45" cm="1">
        <f t="array" ref="Y28">MMULT($B28:$P28,Y$6:Y$20)</f>
        <v>1.9980560190748062</v>
      </c>
      <c r="Z28" s="6"/>
      <c r="AA28" s="3"/>
      <c r="AB28" s="45" cm="1">
        <f t="array" ref="AB28">MMULT($B28:$P28,AB$6:AB$20)</f>
        <v>3.2342174288142003</v>
      </c>
      <c r="AC28" s="3"/>
      <c r="AD28" s="3"/>
      <c r="AE28" s="45" cm="1">
        <f t="array" ref="AE28">MMULT($B28:$P28,AE$6:AE$20)</f>
        <v>-3.019849429785765</v>
      </c>
      <c r="AF28" s="3"/>
      <c r="AG28" s="3"/>
      <c r="AH28" s="45" cm="1">
        <f t="array" ref="AH28">MMULT($B28:$P28,AH$6:AH$20)</f>
        <v>-1.0014617043579248</v>
      </c>
      <c r="AI28" s="3"/>
      <c r="AJ28" s="10"/>
    </row>
    <row r="29" spans="1:36" ht="25.5" customHeight="1">
      <c r="G29" s="3"/>
      <c r="H29" s="3"/>
      <c r="I29" s="3"/>
      <c r="J29" s="3"/>
      <c r="K29" s="3"/>
      <c r="L29" s="3"/>
      <c r="M29" s="3"/>
      <c r="N29" s="3"/>
      <c r="O29" s="3"/>
      <c r="P29" s="3"/>
      <c r="Q29" s="3"/>
      <c r="R29" s="22" t="s">
        <v>17</v>
      </c>
      <c r="S29" s="23" t="s">
        <v>18</v>
      </c>
      <c r="T29" s="24"/>
      <c r="U29" s="25"/>
      <c r="V29" s="23" t="s">
        <v>18</v>
      </c>
      <c r="W29" s="24"/>
      <c r="X29" s="26"/>
      <c r="Y29" s="23" t="s">
        <v>18</v>
      </c>
      <c r="Z29" s="24"/>
      <c r="AA29" s="26"/>
      <c r="AB29" s="23" t="s">
        <v>18</v>
      </c>
      <c r="AC29" s="3"/>
      <c r="AD29" s="26"/>
      <c r="AE29" s="23" t="s">
        <v>18</v>
      </c>
      <c r="AF29" s="3"/>
      <c r="AG29" s="26"/>
      <c r="AH29" s="23" t="s">
        <v>18</v>
      </c>
      <c r="AI29" s="3"/>
    </row>
    <row r="30" spans="1:36" ht="13">
      <c r="H30" s="3"/>
      <c r="I30" s="3"/>
      <c r="J30" s="27"/>
      <c r="K30" s="27"/>
      <c r="L30" s="27"/>
      <c r="M30" s="27"/>
      <c r="R30" s="28" t="s">
        <v>19</v>
      </c>
      <c r="S30" s="29"/>
      <c r="T30" s="6"/>
      <c r="U30" s="3"/>
      <c r="V30" s="29"/>
      <c r="W30" s="6"/>
      <c r="X30" s="2"/>
      <c r="Y30" s="29"/>
      <c r="Z30" s="6"/>
      <c r="AA30" s="3"/>
      <c r="AB30" s="29"/>
      <c r="AC30" s="3"/>
      <c r="AD30" s="3"/>
      <c r="AE30" s="29"/>
      <c r="AG30" s="3"/>
      <c r="AH30" s="29"/>
      <c r="AI30" s="3"/>
      <c r="AJ30" s="28"/>
    </row>
    <row r="31" spans="1:36" ht="13">
      <c r="H31" s="3"/>
      <c r="I31" s="3"/>
      <c r="J31" s="27"/>
      <c r="K31" s="27"/>
      <c r="L31" s="27"/>
      <c r="M31" s="27"/>
      <c r="R31" s="3" t="s">
        <v>9</v>
      </c>
      <c r="S31" s="38">
        <f t="shared" ref="S31:S36" si="5">TANH(S23)</f>
        <v>0.99932929973906692</v>
      </c>
      <c r="T31" s="6"/>
      <c r="U31" s="3" t="s">
        <v>10</v>
      </c>
      <c r="V31" s="38">
        <f>TANH(V23)</f>
        <v>0.99927735073811652</v>
      </c>
      <c r="W31" s="6"/>
      <c r="X31" s="2" t="s">
        <v>11</v>
      </c>
      <c r="Y31" s="38">
        <f>TANH(Y23)</f>
        <v>0.99815815900919547</v>
      </c>
      <c r="Z31" s="6"/>
      <c r="AA31" s="3" t="s">
        <v>20</v>
      </c>
      <c r="AB31" s="37">
        <f>TANH(AB23)</f>
        <v>0.99999994653002799</v>
      </c>
      <c r="AC31" s="3"/>
      <c r="AD31" s="3" t="s">
        <v>48</v>
      </c>
      <c r="AE31" s="37">
        <f>TANH(AE23)</f>
        <v>0.99936272232463363</v>
      </c>
      <c r="AG31" s="3" t="s">
        <v>51</v>
      </c>
      <c r="AH31" s="37">
        <f>TANH(AH23)</f>
        <v>0.99960566099102655</v>
      </c>
      <c r="AI31" s="3"/>
    </row>
    <row r="32" spans="1:36" ht="13">
      <c r="H32" s="3"/>
      <c r="I32" s="3"/>
      <c r="J32" s="27"/>
      <c r="K32" s="27"/>
      <c r="L32" s="27"/>
      <c r="M32" s="27"/>
      <c r="R32" s="3"/>
      <c r="S32" s="38">
        <f t="shared" si="5"/>
        <v>-0.76159415595576485</v>
      </c>
      <c r="T32" s="6"/>
      <c r="U32" s="3"/>
      <c r="V32" s="38">
        <f t="shared" ref="V32:V36" si="6">TANH(V24)</f>
        <v>0.99990243158805026</v>
      </c>
      <c r="W32" s="6"/>
      <c r="X32" s="2"/>
      <c r="Y32" s="38">
        <f t="shared" ref="Y32:Y36" si="7">TANH(Y24)</f>
        <v>4.975593294808592E-3</v>
      </c>
      <c r="Z32" s="6"/>
      <c r="AA32" s="3"/>
      <c r="AB32" s="37">
        <f t="shared" ref="AB32:AB36" si="8">TANH(AB24)</f>
        <v>-0.9468170155929182</v>
      </c>
      <c r="AC32" s="3"/>
      <c r="AD32" s="3"/>
      <c r="AE32" s="37">
        <f t="shared" ref="AE32:AE36" si="9">TANH(AE24)</f>
        <v>0.99989932710479446</v>
      </c>
      <c r="AG32" s="3"/>
      <c r="AH32" s="37">
        <f t="shared" ref="AH32:AH36" si="10">TANH(AH24)</f>
        <v>0.99510156181258513</v>
      </c>
      <c r="AI32" s="3"/>
    </row>
    <row r="33" spans="1:36" ht="13">
      <c r="H33" s="3"/>
      <c r="I33" s="3"/>
      <c r="J33" s="27"/>
      <c r="K33" s="27"/>
      <c r="L33" s="27"/>
      <c r="M33" s="27"/>
      <c r="R33" s="3"/>
      <c r="S33" s="38">
        <f t="shared" si="5"/>
        <v>0.76159415595576485</v>
      </c>
      <c r="T33" s="6"/>
      <c r="U33" s="3"/>
      <c r="V33" s="38">
        <f t="shared" si="6"/>
        <v>0.99883923596754132</v>
      </c>
      <c r="W33" s="6"/>
      <c r="X33" s="2"/>
      <c r="Y33" s="38">
        <f t="shared" si="7"/>
        <v>0.99507991252818306</v>
      </c>
      <c r="Z33" s="6"/>
      <c r="AA33" s="3"/>
      <c r="AB33" s="37">
        <f t="shared" si="8"/>
        <v>0.97550374173012133</v>
      </c>
      <c r="AC33" s="3"/>
      <c r="AD33" s="3"/>
      <c r="AE33" s="37">
        <f t="shared" si="9"/>
        <v>0.99926256554001103</v>
      </c>
      <c r="AG33" s="3"/>
      <c r="AH33" s="37">
        <f t="shared" si="10"/>
        <v>0.99508614006301643</v>
      </c>
      <c r="AI33" s="3"/>
    </row>
    <row r="34" spans="1:36" ht="13">
      <c r="H34" s="3"/>
      <c r="I34" s="3"/>
      <c r="J34" s="27"/>
      <c r="K34" s="27"/>
      <c r="L34" s="27"/>
      <c r="M34" s="27"/>
      <c r="R34" s="3"/>
      <c r="S34" s="38">
        <f t="shared" si="5"/>
        <v>0.99932929973906692</v>
      </c>
      <c r="T34" s="6"/>
      <c r="U34" s="3"/>
      <c r="V34" s="38">
        <f t="shared" si="6"/>
        <v>-0.50834989944641562</v>
      </c>
      <c r="W34" s="6"/>
      <c r="X34" s="2"/>
      <c r="Y34" s="38">
        <f t="shared" si="7"/>
        <v>0.75654273933495408</v>
      </c>
      <c r="Z34" s="6"/>
      <c r="AA34" s="3"/>
      <c r="AB34" s="37">
        <f t="shared" si="8"/>
        <v>0.99997861293651025</v>
      </c>
      <c r="AC34" s="3"/>
      <c r="AD34" s="3"/>
      <c r="AE34" s="37">
        <f t="shared" si="9"/>
        <v>-0.73765305319018015</v>
      </c>
      <c r="AG34" s="3"/>
      <c r="AH34" s="37">
        <f t="shared" si="10"/>
        <v>-0.98581333041235719</v>
      </c>
      <c r="AI34" s="3"/>
    </row>
    <row r="35" spans="1:36" ht="13">
      <c r="H35" s="3"/>
      <c r="I35" s="3"/>
      <c r="J35" s="27"/>
      <c r="K35" s="27"/>
      <c r="L35" s="27"/>
      <c r="M35" s="27"/>
      <c r="R35" s="3"/>
      <c r="S35" s="38">
        <f t="shared" si="5"/>
        <v>-0.76159415595576485</v>
      </c>
      <c r="T35" s="6"/>
      <c r="U35" s="6"/>
      <c r="V35" s="38">
        <f t="shared" si="6"/>
        <v>0.99993943236914828</v>
      </c>
      <c r="W35" s="6"/>
      <c r="X35" s="3"/>
      <c r="Y35" s="38">
        <f t="shared" si="7"/>
        <v>-0.7590206427231786</v>
      </c>
      <c r="Z35" s="6"/>
      <c r="AA35" s="26"/>
      <c r="AB35" s="37">
        <f t="shared" si="8"/>
        <v>-0.99535311804591431</v>
      </c>
      <c r="AC35" s="3"/>
      <c r="AD35" s="26"/>
      <c r="AE35" s="37">
        <f t="shared" si="9"/>
        <v>0.99991300777743042</v>
      </c>
      <c r="AF35" s="3"/>
      <c r="AG35" s="26"/>
      <c r="AH35" s="37">
        <f t="shared" si="10"/>
        <v>0.96441345360712549</v>
      </c>
      <c r="AI35" s="3"/>
      <c r="AJ35" s="3"/>
    </row>
    <row r="36" spans="1:36" ht="13">
      <c r="A36" s="5"/>
      <c r="B36" s="5"/>
      <c r="C36" s="5"/>
      <c r="D36" s="5"/>
      <c r="E36" s="5"/>
      <c r="F36" s="5"/>
      <c r="H36" s="3"/>
      <c r="I36" s="3"/>
      <c r="J36" s="3"/>
      <c r="K36" s="3"/>
      <c r="L36" s="3"/>
      <c r="M36" s="3"/>
      <c r="N36" s="3"/>
      <c r="O36" s="3"/>
      <c r="P36" s="3"/>
      <c r="Q36" s="3"/>
      <c r="R36" s="3"/>
      <c r="S36" s="38">
        <f t="shared" si="5"/>
        <v>0.96402758007581701</v>
      </c>
      <c r="T36" s="3"/>
      <c r="U36" s="3"/>
      <c r="V36" s="38">
        <f t="shared" si="6"/>
        <v>-0.99506136642620702</v>
      </c>
      <c r="W36" s="3"/>
      <c r="X36" s="3"/>
      <c r="Y36" s="38">
        <f t="shared" si="7"/>
        <v>0.96388997852092517</v>
      </c>
      <c r="Z36" s="26"/>
      <c r="AA36" s="26"/>
      <c r="AB36" s="37">
        <f t="shared" si="8"/>
        <v>0.99690150300965796</v>
      </c>
      <c r="AC36" s="3"/>
      <c r="AD36" s="26"/>
      <c r="AE36" s="37">
        <f t="shared" si="9"/>
        <v>-0.99524677109355042</v>
      </c>
      <c r="AF36" s="3"/>
      <c r="AG36" s="26"/>
      <c r="AH36" s="37">
        <f t="shared" si="10"/>
        <v>-0.76220735121980276</v>
      </c>
      <c r="AI36" s="3"/>
      <c r="AJ36" s="3"/>
    </row>
    <row r="37" spans="1:36" ht="13">
      <c r="S37" s="3">
        <v>1</v>
      </c>
      <c r="V37" s="3">
        <v>1</v>
      </c>
      <c r="Y37" s="3">
        <v>1</v>
      </c>
      <c r="AB37" s="3">
        <v>1</v>
      </c>
      <c r="AE37" s="3">
        <v>1</v>
      </c>
      <c r="AH37" s="3">
        <v>1</v>
      </c>
      <c r="AI37" s="3"/>
    </row>
    <row r="38" spans="1:36" ht="13">
      <c r="N38" s="27"/>
      <c r="O38" s="27"/>
      <c r="S38" s="3" t="s">
        <v>12</v>
      </c>
      <c r="V38" s="3" t="s">
        <v>12</v>
      </c>
      <c r="Y38" s="3" t="s">
        <v>12</v>
      </c>
      <c r="AB38" s="3" t="s">
        <v>12</v>
      </c>
      <c r="AE38" s="3" t="s">
        <v>12</v>
      </c>
      <c r="AH38" s="3" t="s">
        <v>12</v>
      </c>
      <c r="AI38" s="3"/>
    </row>
    <row r="39" spans="1:36" ht="13">
      <c r="J39" s="9" t="s">
        <v>21</v>
      </c>
      <c r="K39" s="9"/>
      <c r="L39" s="9"/>
      <c r="M39" s="9"/>
      <c r="N39" s="30"/>
      <c r="O39" s="30"/>
      <c r="P39" s="9" t="s">
        <v>22</v>
      </c>
      <c r="Q39" s="3"/>
      <c r="R39" s="28" t="s">
        <v>23</v>
      </c>
      <c r="S39" s="29"/>
      <c r="U39" s="2"/>
      <c r="X39" s="2"/>
      <c r="Y39" s="29"/>
      <c r="AA39" s="2"/>
      <c r="AB39" s="29"/>
      <c r="AD39" s="2"/>
      <c r="AE39" s="29"/>
      <c r="AG39" s="2"/>
      <c r="AH39" s="29"/>
      <c r="AI39" s="3"/>
      <c r="AJ39" s="28"/>
    </row>
    <row r="40" spans="1:36" ht="13">
      <c r="J40" s="47">
        <v>3</v>
      </c>
      <c r="K40" s="48">
        <v>0</v>
      </c>
      <c r="L40" s="48">
        <v>0</v>
      </c>
      <c r="M40" s="48">
        <v>0</v>
      </c>
      <c r="N40" s="48">
        <v>2</v>
      </c>
      <c r="O40" s="48">
        <v>-1</v>
      </c>
      <c r="P40" s="49">
        <v>-1</v>
      </c>
      <c r="Q40" s="3" t="s">
        <v>16</v>
      </c>
      <c r="R40" s="2" t="s">
        <v>24</v>
      </c>
      <c r="S40" s="38" cm="1">
        <f t="array" ref="S40">MMULT($J40:$P40,S$31:S$37)</f>
        <v>-0.48922799277014584</v>
      </c>
      <c r="U40" s="2" t="s">
        <v>25</v>
      </c>
      <c r="V40" s="38" cm="1">
        <f t="array" ref="V40">MMULT($J40:$P40,V$31:V$37)</f>
        <v>4.9927722833788533</v>
      </c>
      <c r="X40" s="2" t="s">
        <v>26</v>
      </c>
      <c r="Y40" s="38" cm="1">
        <f t="array" ref="Y40">MMULT($J40:$P40,Y$31:Y$37)</f>
        <v>-0.48745678693969574</v>
      </c>
      <c r="AA40" s="2" t="s">
        <v>27</v>
      </c>
      <c r="AB40" s="38" cm="1">
        <f t="array" ref="AB40">MMULT($J40:$P40,AB$31:AB$37)</f>
        <v>-0.9876078995114026</v>
      </c>
      <c r="AD40" s="2" t="s">
        <v>52</v>
      </c>
      <c r="AE40" s="38" cm="1">
        <f t="array" ref="AE40">MMULT($J40:$P40,AE$31:AE$37)</f>
        <v>4.9931609536223123</v>
      </c>
      <c r="AG40" s="2" t="s">
        <v>53</v>
      </c>
      <c r="AH40" s="38" cm="1">
        <f t="array" ref="AH40">MMULT($J40:$P40,AH$31:AH$37)</f>
        <v>4.6898512414071334</v>
      </c>
      <c r="AI40" s="3"/>
      <c r="AJ40" s="28"/>
    </row>
    <row r="41" spans="1:36" ht="13">
      <c r="J41" s="50">
        <v>0</v>
      </c>
      <c r="K41" s="46">
        <v>1</v>
      </c>
      <c r="L41" s="46">
        <v>0</v>
      </c>
      <c r="M41" s="46">
        <v>0</v>
      </c>
      <c r="N41" s="46">
        <v>0</v>
      </c>
      <c r="O41" s="46">
        <v>0</v>
      </c>
      <c r="P41" s="51">
        <v>0</v>
      </c>
      <c r="Q41" s="3" t="s">
        <v>16</v>
      </c>
      <c r="R41" s="2"/>
      <c r="S41" s="38" cm="1">
        <f t="array" ref="S41">MMULT($J41:$P41,S$31:S$37)</f>
        <v>-0.76159415595576485</v>
      </c>
      <c r="U41" s="2"/>
      <c r="V41" s="38" cm="1">
        <f t="array" ref="V41">MMULT($J41:$P41,V$31:V$37)</f>
        <v>0.99990243158805026</v>
      </c>
      <c r="X41" s="2"/>
      <c r="Y41" s="38" cm="1">
        <f t="array" ref="Y41">MMULT($J41:$P41,Y$31:Y$37)</f>
        <v>4.975593294808592E-3</v>
      </c>
      <c r="AA41" s="2"/>
      <c r="AB41" s="38" cm="1">
        <f t="array" ref="AB41">MMULT($J41:$P41,AB$31:AB$37)</f>
        <v>-0.9468170155929182</v>
      </c>
      <c r="AD41" s="2"/>
      <c r="AE41" s="38" cm="1">
        <f t="array" ref="AE41">MMULT($J41:$P41,AE$31:AE$37)</f>
        <v>0.99989932710479446</v>
      </c>
      <c r="AG41" s="2"/>
      <c r="AH41" s="38" cm="1">
        <f t="array" ref="AH41">MMULT($J41:$P41,AH$31:AH$37)</f>
        <v>0.99510156181258513</v>
      </c>
      <c r="AI41" s="3"/>
      <c r="AJ41" s="28"/>
    </row>
    <row r="42" spans="1:36" ht="13">
      <c r="J42" s="50">
        <v>1</v>
      </c>
      <c r="K42" s="46">
        <v>0</v>
      </c>
      <c r="L42" s="46">
        <v>0</v>
      </c>
      <c r="M42" s="46">
        <v>0</v>
      </c>
      <c r="N42" s="46">
        <v>2</v>
      </c>
      <c r="O42" s="46">
        <v>0</v>
      </c>
      <c r="P42" s="51">
        <v>1</v>
      </c>
      <c r="Q42" s="3" t="s">
        <v>16</v>
      </c>
      <c r="R42" s="2"/>
      <c r="S42" s="38" cm="1">
        <f t="array" ref="S42">MMULT($J42:$P42,S$31:S$37)</f>
        <v>0.47614098782753722</v>
      </c>
      <c r="U42" s="2"/>
      <c r="V42" s="38" cm="1">
        <f t="array" ref="V42">MMULT($J42:$P42,V$31:V$37)</f>
        <v>3.9991562154764129</v>
      </c>
      <c r="X42" s="2"/>
      <c r="Y42" s="38" cm="1">
        <f t="array" ref="Y42">MMULT($J42:$P42,Y$31:Y$37)</f>
        <v>0.48011687356283828</v>
      </c>
      <c r="AA42" s="2"/>
      <c r="AB42" s="38" cm="1">
        <f t="array" ref="AB42">MMULT($J42:$P42,AB$31:AB$37)</f>
        <v>9.2937104381993763E-3</v>
      </c>
      <c r="AD42" s="2"/>
      <c r="AE42" s="38" cm="1">
        <f t="array" ref="AE42">MMULT($J42:$P42,AE$31:AE$37)</f>
        <v>3.9991887378794946</v>
      </c>
      <c r="AG42" s="2"/>
      <c r="AH42" s="38" cm="1">
        <f t="array" ref="AH42">MMULT($J42:$P42,AH$31:AH$37)</f>
        <v>3.9284325682052774</v>
      </c>
      <c r="AI42" s="3"/>
      <c r="AJ42" s="28"/>
    </row>
    <row r="43" spans="1:36" ht="13">
      <c r="J43" s="50">
        <v>0</v>
      </c>
      <c r="K43" s="46">
        <v>0</v>
      </c>
      <c r="L43" s="46">
        <v>0</v>
      </c>
      <c r="M43" s="46">
        <v>1</v>
      </c>
      <c r="N43" s="46">
        <v>0</v>
      </c>
      <c r="O43" s="46">
        <v>0</v>
      </c>
      <c r="P43" s="51">
        <v>1</v>
      </c>
      <c r="Q43" s="3" t="s">
        <v>16</v>
      </c>
      <c r="R43" s="2"/>
      <c r="S43" s="38" cm="1">
        <f t="array" ref="S43">MMULT($J43:$P43,S$31:S$37)</f>
        <v>1.9993292997390668</v>
      </c>
      <c r="U43" s="2"/>
      <c r="V43" s="38" cm="1">
        <f t="array" ref="V43">MMULT($J43:$P43,V$31:V$37)</f>
        <v>0.49165010055358438</v>
      </c>
      <c r="X43" s="2"/>
      <c r="Y43" s="38" cm="1">
        <f t="array" ref="Y43">MMULT($J43:$P43,Y$31:Y$37)</f>
        <v>1.7565427393349542</v>
      </c>
      <c r="AA43" s="2"/>
      <c r="AB43" s="38" cm="1">
        <f t="array" ref="AB43">MMULT($J43:$P43,AB$31:AB$37)</f>
        <v>1.9999786129365102</v>
      </c>
      <c r="AD43" s="2"/>
      <c r="AE43" s="38" cm="1">
        <f t="array" ref="AE43">MMULT($J43:$P43,AE$31:AE$37)</f>
        <v>0.26234694680981985</v>
      </c>
      <c r="AG43" s="2"/>
      <c r="AH43" s="38" cm="1">
        <f t="array" ref="AH43">MMULT($J43:$P43,AH$31:AH$37)</f>
        <v>1.4186669587642808E-2</v>
      </c>
      <c r="AI43" s="3"/>
      <c r="AJ43" s="28"/>
    </row>
    <row r="44" spans="1:36" ht="13">
      <c r="J44" s="50">
        <v>1</v>
      </c>
      <c r="K44" s="46">
        <v>0</v>
      </c>
      <c r="L44" s="46">
        <v>0</v>
      </c>
      <c r="M44" s="46">
        <v>0</v>
      </c>
      <c r="N44" s="46">
        <v>1</v>
      </c>
      <c r="O44" s="46">
        <v>0</v>
      </c>
      <c r="P44" s="51">
        <v>0</v>
      </c>
      <c r="Q44" s="3" t="s">
        <v>16</v>
      </c>
      <c r="R44" s="2"/>
      <c r="S44" s="38" cm="1">
        <f t="array" ref="S44">MMULT($J44:$P44,S$31:S$37)</f>
        <v>0.23773514378330207</v>
      </c>
      <c r="U44" s="2"/>
      <c r="V44" s="38" cm="1">
        <f t="array" ref="V44">MMULT($J44:$P44,V$31:V$37)</f>
        <v>1.9992167831072649</v>
      </c>
      <c r="X44" s="2"/>
      <c r="Y44" s="38" cm="1">
        <f t="array" ref="Y44">MMULT($J44:$P44,Y$31:Y$37)</f>
        <v>0.23913751628601687</v>
      </c>
      <c r="AA44" s="2"/>
      <c r="AB44" s="38" cm="1">
        <f t="array" ref="AB44">MMULT($J44:$P44,AB$31:AB$37)</f>
        <v>4.6468284841136853E-3</v>
      </c>
      <c r="AD44" s="2"/>
      <c r="AE44" s="38" cm="1">
        <f t="array" ref="AE44">MMULT($J44:$P44,AE$31:AE$37)</f>
        <v>1.9992757301020641</v>
      </c>
      <c r="AG44" s="2"/>
      <c r="AH44" s="38" cm="1">
        <f t="array" ref="AH44">MMULT($J44:$P44,AH$31:AH$37)</f>
        <v>1.964019114598152</v>
      </c>
      <c r="AI44" s="3"/>
      <c r="AJ44" s="28"/>
    </row>
    <row r="45" spans="1:36" ht="13">
      <c r="J45" s="50">
        <v>0</v>
      </c>
      <c r="K45" s="46">
        <v>1</v>
      </c>
      <c r="L45" s="46">
        <v>0</v>
      </c>
      <c r="M45" s="46">
        <v>0</v>
      </c>
      <c r="N45" s="46">
        <v>0</v>
      </c>
      <c r="O45" s="46">
        <v>1</v>
      </c>
      <c r="P45" s="51">
        <v>1</v>
      </c>
      <c r="Q45" s="3" t="s">
        <v>16</v>
      </c>
      <c r="R45" s="2"/>
      <c r="S45" s="38" cm="1">
        <f t="array" ref="S45">MMULT($J45:$P45,S$31:S$37)</f>
        <v>1.2024334241200521</v>
      </c>
      <c r="U45" s="2"/>
      <c r="V45" s="38" cm="1">
        <f t="array" ref="V45">MMULT($J45:$P45,V$31:V$37)</f>
        <v>1.0048410651618433</v>
      </c>
      <c r="X45" s="2"/>
      <c r="Y45" s="38" cm="1">
        <f t="array" ref="Y45">MMULT($J45:$P45,Y$31:Y$37)</f>
        <v>1.9688655718157337</v>
      </c>
      <c r="AA45" s="2"/>
      <c r="AB45" s="38" cm="1">
        <f t="array" ref="AB45">MMULT($J45:$P45,AB$31:AB$37)</f>
        <v>1.0500844874167399</v>
      </c>
      <c r="AD45" s="2"/>
      <c r="AE45" s="38" cm="1">
        <f t="array" ref="AE45">MMULT($J45:$P45,AE$31:AE$37)</f>
        <v>1.004652556011244</v>
      </c>
      <c r="AG45" s="2"/>
      <c r="AH45" s="38" cm="1">
        <f t="array" ref="AH45">MMULT($J45:$P45,AH$31:AH$37)</f>
        <v>1.2328942105927823</v>
      </c>
      <c r="AI45" s="3"/>
      <c r="AJ45" s="28"/>
    </row>
    <row r="46" spans="1:36" ht="13">
      <c r="J46" s="50">
        <v>0</v>
      </c>
      <c r="K46" s="46">
        <v>1</v>
      </c>
      <c r="L46" s="46">
        <v>0</v>
      </c>
      <c r="M46" s="46">
        <v>1</v>
      </c>
      <c r="N46" s="46">
        <v>1</v>
      </c>
      <c r="O46" s="46">
        <v>0</v>
      </c>
      <c r="P46" s="51">
        <v>0</v>
      </c>
      <c r="Q46" s="3" t="s">
        <v>16</v>
      </c>
      <c r="R46" s="2"/>
      <c r="S46" s="38" cm="1">
        <f t="array" ref="S46">MMULT($J46:$P46,S$31:S$37)</f>
        <v>-0.52385901217246278</v>
      </c>
      <c r="U46" s="2"/>
      <c r="V46" s="38" cm="1">
        <f t="array" ref="V46">MMULT($J46:$P46,V$31:V$37)</f>
        <v>1.4914919645107829</v>
      </c>
      <c r="X46" s="2"/>
      <c r="Y46" s="38" cm="1">
        <f t="array" ref="Y46">MMULT($J46:$P46,Y$31:Y$37)</f>
        <v>2.4976899065840552E-3</v>
      </c>
      <c r="AA46" s="2"/>
      <c r="AB46" s="38" cm="1">
        <f t="array" ref="AB46">MMULT($J46:$P46,AB$31:AB$37)</f>
        <v>-0.94219152070232226</v>
      </c>
      <c r="AD46" s="2"/>
      <c r="AE46" s="38" cm="1">
        <f t="array" ref="AE46">MMULT($J46:$P46,AE$31:AE$37)</f>
        <v>1.2621592816920448</v>
      </c>
      <c r="AG46" s="2"/>
      <c r="AH46" s="38" cm="1">
        <f t="array" ref="AH46">MMULT($J46:$P46,AH$31:AH$37)</f>
        <v>0.97370168500735343</v>
      </c>
      <c r="AI46" s="3"/>
      <c r="AJ46" s="28"/>
    </row>
    <row r="47" spans="1:36" ht="13">
      <c r="J47" s="50">
        <v>0</v>
      </c>
      <c r="K47" s="46">
        <v>1</v>
      </c>
      <c r="L47" s="46">
        <v>1</v>
      </c>
      <c r="M47" s="46">
        <v>1</v>
      </c>
      <c r="N47" s="46">
        <v>0</v>
      </c>
      <c r="O47" s="46">
        <v>2</v>
      </c>
      <c r="P47" s="51">
        <v>1</v>
      </c>
      <c r="Q47" s="3" t="s">
        <v>16</v>
      </c>
      <c r="R47" s="2"/>
      <c r="S47" s="38" cm="1">
        <f t="array" ref="S47">MMULT($J47:$P47,S$31:S$37)</f>
        <v>3.9273844598907011</v>
      </c>
      <c r="U47" s="2"/>
      <c r="V47" s="38" cm="1">
        <f t="array" ref="V47">MMULT($J47:$P47,V$31:V$37)</f>
        <v>0.50026903525676203</v>
      </c>
      <c r="X47" s="2"/>
      <c r="Y47" s="38" cm="1">
        <f t="array" ref="Y47">MMULT($J47:$P47,Y$31:Y$37)</f>
        <v>4.6843782021997962</v>
      </c>
      <c r="AA47" s="2"/>
      <c r="AB47" s="38" cm="1">
        <f t="array" ref="AB47">MMULT($J47:$P47,AB$31:AB$37)</f>
        <v>4.0224683450930296</v>
      </c>
      <c r="AD47" s="2"/>
      <c r="AE47" s="38" cm="1">
        <f t="array" ref="AE47">MMULT($J47:$P47,AE$31:AE$37)</f>
        <v>0.2710152972675246</v>
      </c>
      <c r="AG47" s="2"/>
      <c r="AH47" s="38" cm="1">
        <f t="array" ref="AH47">MMULT($J47:$P47,AH$31:AH$37)</f>
        <v>0.47995966902363896</v>
      </c>
      <c r="AI47" s="3"/>
      <c r="AJ47" s="28"/>
    </row>
    <row r="48" spans="1:36" ht="13">
      <c r="J48" s="50">
        <v>0</v>
      </c>
      <c r="K48" s="46">
        <v>1</v>
      </c>
      <c r="L48" s="46">
        <v>0</v>
      </c>
      <c r="M48" s="46">
        <v>1</v>
      </c>
      <c r="N48" s="46">
        <v>2</v>
      </c>
      <c r="O48" s="46">
        <v>0</v>
      </c>
      <c r="P48" s="51">
        <v>0</v>
      </c>
      <c r="Q48" s="3" t="s">
        <v>16</v>
      </c>
      <c r="R48" s="28"/>
      <c r="S48" s="38" cm="1">
        <f t="array" ref="S48">MMULT($J48:$P48,S$31:S$37)</f>
        <v>-1.2854531681282277</v>
      </c>
      <c r="U48" s="2"/>
      <c r="V48" s="38" cm="1">
        <f t="array" ref="V48">MMULT($J48:$P48,V$31:V$37)</f>
        <v>2.4914313968799311</v>
      </c>
      <c r="X48" s="2"/>
      <c r="Y48" s="38" cm="1">
        <f t="array" ref="Y48">MMULT($J48:$P48,Y$31:Y$37)</f>
        <v>-0.75652295281659454</v>
      </c>
      <c r="AA48" s="2"/>
      <c r="AB48" s="38" cm="1">
        <f t="array" ref="AB48">MMULT($J48:$P48,AB$31:AB$37)</f>
        <v>-1.9375446387482365</v>
      </c>
      <c r="AD48" s="2"/>
      <c r="AE48" s="38" cm="1">
        <f t="array" ref="AE48">MMULT($J48:$P48,AE$31:AE$37)</f>
        <v>2.2620722894694749</v>
      </c>
      <c r="AG48" s="2"/>
      <c r="AH48" s="38" cm="1">
        <f t="array" ref="AH48">MMULT($J48:$P48,AH$31:AH$37)</f>
        <v>1.9381151386144788</v>
      </c>
      <c r="AI48" s="3"/>
      <c r="AJ48" s="28"/>
    </row>
    <row r="49" spans="10:36" ht="13">
      <c r="J49" s="52">
        <v>3</v>
      </c>
      <c r="K49" s="53">
        <v>0</v>
      </c>
      <c r="L49" s="53">
        <v>2</v>
      </c>
      <c r="M49" s="53">
        <v>0</v>
      </c>
      <c r="N49" s="53">
        <v>1</v>
      </c>
      <c r="O49" s="53">
        <v>0</v>
      </c>
      <c r="P49" s="54">
        <v>-2</v>
      </c>
      <c r="Q49" s="3" t="s">
        <v>16</v>
      </c>
      <c r="S49" s="38" cm="1">
        <f t="array" ref="S49">MMULT($J49:$P49,S$31:S$37)</f>
        <v>1.7595820551729662</v>
      </c>
      <c r="V49" s="38" cm="1">
        <f t="array" ref="V49">MMULT($J49:$P49,V$31:V$37)</f>
        <v>3.9954499565185806</v>
      </c>
      <c r="Y49" s="38">
        <f t="array" ref="Y49">MMULT($J49:$P49,Y31:Y37)</f>
        <v>2.225613659360774</v>
      </c>
      <c r="AB49" s="38" cm="1">
        <f t="array" ref="AB49">MMULT($J49:$P49,AB$31:AB$37)</f>
        <v>1.9556542050044126</v>
      </c>
      <c r="AE49" s="38" cm="1">
        <f t="array" ref="AE49">MMULT($J49:$P49,AE$31:AE$37)</f>
        <v>3.9965263058313534</v>
      </c>
      <c r="AH49" s="38" cm="1">
        <f t="array" ref="AH49">MMULT($J49:$P49,AH$31:AH$37)</f>
        <v>3.953402716706238</v>
      </c>
      <c r="AI49" s="3"/>
      <c r="AJ49" s="28"/>
    </row>
    <row r="50" spans="10:36" ht="15" customHeight="1">
      <c r="S50" s="3" t="s">
        <v>12</v>
      </c>
      <c r="T50" s="35"/>
      <c r="U50" s="35"/>
      <c r="V50" s="3" t="s">
        <v>12</v>
      </c>
      <c r="W50" s="35"/>
      <c r="X50" s="35"/>
      <c r="Y50" s="3" t="s">
        <v>12</v>
      </c>
      <c r="Z50" s="35"/>
      <c r="AA50" s="35"/>
      <c r="AB50" s="3" t="s">
        <v>12</v>
      </c>
      <c r="AD50" s="35"/>
      <c r="AE50" s="3" t="s">
        <v>12</v>
      </c>
      <c r="AG50" s="35"/>
      <c r="AH50" s="3" t="s">
        <v>12</v>
      </c>
      <c r="AI50" s="3"/>
    </row>
    <row r="51" spans="10:36" ht="13">
      <c r="Q51" s="69" t="s">
        <v>41</v>
      </c>
      <c r="S51" s="67">
        <f>EXP(S40)</f>
        <v>0.61309952879809837</v>
      </c>
      <c r="T51" s="35"/>
      <c r="U51" s="35"/>
      <c r="V51" s="67">
        <f>EXP(V40)</f>
        <v>147.34433806643816</v>
      </c>
      <c r="W51" s="35"/>
      <c r="X51" s="35"/>
      <c r="Y51" s="67">
        <f>EXP(Y40)</f>
        <v>0.61418641652494521</v>
      </c>
      <c r="Z51" s="35"/>
      <c r="AA51" s="35"/>
      <c r="AB51" s="67">
        <f>EXP(AB40)</f>
        <v>0.37246660376219043</v>
      </c>
      <c r="AD51" s="35"/>
      <c r="AE51" s="67">
        <f>EXP(AE40)</f>
        <v>147.40161755688243</v>
      </c>
      <c r="AG51" s="35"/>
      <c r="AH51" s="67">
        <f>EXP(AH40)</f>
        <v>108.83698816591154</v>
      </c>
      <c r="AI51" s="3"/>
    </row>
    <row r="52" spans="10:36" ht="13">
      <c r="Q52" s="69"/>
      <c r="S52" s="67">
        <f t="shared" ref="S52:S58" si="11">EXP(S41)</f>
        <v>0.46692148772244257</v>
      </c>
      <c r="T52" s="35"/>
      <c r="U52" s="35"/>
      <c r="V52" s="67">
        <f t="shared" ref="V52:V58" si="12">EXP(V41)</f>
        <v>2.7180166229558611</v>
      </c>
      <c r="W52" s="35"/>
      <c r="X52" s="35"/>
      <c r="Y52" s="67">
        <f t="shared" ref="Y52:Y58" si="13">EXP(Y41)</f>
        <v>1.0049879921144249</v>
      </c>
      <c r="Z52" s="35"/>
      <c r="AA52" s="35"/>
      <c r="AB52" s="67">
        <f t="shared" ref="AB52:AB58" si="14">EXP(AB41)</f>
        <v>0.38797397529401623</v>
      </c>
      <c r="AD52" s="35"/>
      <c r="AE52" s="67">
        <f t="shared" ref="AE52:AE58" si="15">EXP(AE41)</f>
        <v>2.7180081849318638</v>
      </c>
      <c r="AG52" s="35"/>
      <c r="AH52" s="67">
        <f t="shared" ref="AH52:AH58" si="16">EXP(AH41)</f>
        <v>2.7049990519359155</v>
      </c>
      <c r="AI52" s="3"/>
    </row>
    <row r="53" spans="10:36" ht="13">
      <c r="Q53" s="69"/>
      <c r="S53" s="67">
        <f t="shared" si="11"/>
        <v>1.6098499692090575</v>
      </c>
      <c r="T53" s="35"/>
      <c r="U53" s="35"/>
      <c r="V53" s="67">
        <f t="shared" si="12"/>
        <v>54.552100389850118</v>
      </c>
      <c r="W53" s="35"/>
      <c r="X53" s="35"/>
      <c r="Y53" s="67">
        <f t="shared" si="13"/>
        <v>1.6162632896038467</v>
      </c>
      <c r="Z53" s="35"/>
      <c r="AA53" s="35"/>
      <c r="AB53" s="67">
        <f t="shared" si="14"/>
        <v>1.0093370310641705</v>
      </c>
      <c r="AD53" s="35"/>
      <c r="AE53" s="67">
        <f t="shared" si="15"/>
        <v>54.553874584098324</v>
      </c>
      <c r="AG53" s="35"/>
      <c r="AH53" s="67">
        <f t="shared" si="16"/>
        <v>50.827246956380456</v>
      </c>
      <c r="AI53" s="3"/>
    </row>
    <row r="54" spans="10:36" ht="13">
      <c r="Q54" s="69"/>
      <c r="S54" s="67">
        <f t="shared" si="11"/>
        <v>7.384101918647767</v>
      </c>
      <c r="T54" s="35"/>
      <c r="U54" s="35"/>
      <c r="V54" s="67">
        <f t="shared" si="12"/>
        <v>1.6350119293376606</v>
      </c>
      <c r="W54" s="35"/>
      <c r="X54" s="35"/>
      <c r="Y54" s="67">
        <f t="shared" si="13"/>
        <v>5.7923769802525191</v>
      </c>
      <c r="Z54" s="35"/>
      <c r="AA54" s="35"/>
      <c r="AB54" s="67">
        <f t="shared" si="14"/>
        <v>7.3888980704086222</v>
      </c>
      <c r="AD54" s="35"/>
      <c r="AE54" s="67">
        <f t="shared" si="15"/>
        <v>1.2999774872399621</v>
      </c>
      <c r="AG54" s="35"/>
      <c r="AH54" s="67">
        <f t="shared" si="16"/>
        <v>1.0142877779491526</v>
      </c>
      <c r="AI54" s="3"/>
    </row>
    <row r="55" spans="10:36" ht="13">
      <c r="Q55" s="69"/>
      <c r="S55" s="67">
        <f t="shared" si="11"/>
        <v>1.2683732118033044</v>
      </c>
      <c r="T55" s="35"/>
      <c r="U55" s="35"/>
      <c r="V55" s="67">
        <f t="shared" si="12"/>
        <v>7.3832711311105825</v>
      </c>
      <c r="W55" s="35"/>
      <c r="X55" s="35"/>
      <c r="Y55" s="67">
        <f t="shared" si="13"/>
        <v>1.270153191324169</v>
      </c>
      <c r="Z55" s="35"/>
      <c r="AA55" s="35"/>
      <c r="AB55" s="67">
        <f t="shared" si="14"/>
        <v>1.0046576417342123</v>
      </c>
      <c r="AD55" s="35"/>
      <c r="AE55" s="67">
        <f t="shared" si="15"/>
        <v>7.3837063655833051</v>
      </c>
      <c r="AG55" s="35"/>
      <c r="AH55" s="67">
        <f t="shared" si="16"/>
        <v>7.1279174898120532</v>
      </c>
      <c r="AI55" s="3"/>
    </row>
    <row r="56" spans="10:36" ht="13">
      <c r="Q56" s="69"/>
      <c r="S56" s="67">
        <f t="shared" si="11"/>
        <v>3.3282060134402771</v>
      </c>
      <c r="T56" s="35"/>
      <c r="U56" s="35"/>
      <c r="V56" s="67">
        <f t="shared" si="12"/>
        <v>2.7314731120882088</v>
      </c>
      <c r="W56" s="35"/>
      <c r="X56" s="35"/>
      <c r="Y56" s="67">
        <f t="shared" si="13"/>
        <v>7.1625464831633803</v>
      </c>
      <c r="Z56" s="35"/>
      <c r="AA56" s="35"/>
      <c r="AB56" s="67">
        <f t="shared" si="14"/>
        <v>2.8578925638234933</v>
      </c>
      <c r="AD56" s="35"/>
      <c r="AE56" s="67">
        <f t="shared" si="15"/>
        <v>2.7309582529413188</v>
      </c>
      <c r="AG56" s="35"/>
      <c r="AH56" s="67">
        <f t="shared" si="16"/>
        <v>3.4311456377751082</v>
      </c>
      <c r="AI56" s="3"/>
    </row>
    <row r="57" spans="10:36" ht="13">
      <c r="Q57" s="69"/>
      <c r="S57" s="67">
        <f t="shared" si="11"/>
        <v>0.5922307070424917</v>
      </c>
      <c r="T57" s="35"/>
      <c r="U57" s="35"/>
      <c r="V57" s="67">
        <f t="shared" si="12"/>
        <v>4.4437204489002164</v>
      </c>
      <c r="W57" s="35"/>
      <c r="X57" s="35"/>
      <c r="Y57" s="67">
        <f t="shared" si="13"/>
        <v>1.0025008117325955</v>
      </c>
      <c r="Z57" s="35"/>
      <c r="AA57" s="35"/>
      <c r="AB57" s="67">
        <f t="shared" si="14"/>
        <v>0.38977270373201045</v>
      </c>
      <c r="AD57" s="35"/>
      <c r="AE57" s="67">
        <f t="shared" si="15"/>
        <v>3.5330420899927395</v>
      </c>
      <c r="AG57" s="35"/>
      <c r="AH57" s="67">
        <f t="shared" si="16"/>
        <v>2.6477273943105395</v>
      </c>
      <c r="AI57" s="3"/>
    </row>
    <row r="58" spans="10:36" ht="13">
      <c r="Q58" s="69"/>
      <c r="S58" s="67">
        <f t="shared" si="11"/>
        <v>50.774002404141633</v>
      </c>
      <c r="T58" s="35"/>
      <c r="U58" s="35"/>
      <c r="V58" s="67">
        <f t="shared" si="12"/>
        <v>1.6491648945230688</v>
      </c>
      <c r="W58" s="35"/>
      <c r="X58" s="35"/>
      <c r="Y58" s="67">
        <f t="shared" si="13"/>
        <v>108.24294615291991</v>
      </c>
      <c r="Z58" s="35"/>
      <c r="AA58" s="35"/>
      <c r="AB58" s="67">
        <f t="shared" si="14"/>
        <v>55.838765203569679</v>
      </c>
      <c r="AD58" s="35"/>
      <c r="AE58" s="67">
        <f t="shared" si="15"/>
        <v>1.3112951294635622</v>
      </c>
      <c r="AG58" s="35"/>
      <c r="AH58" s="67">
        <f t="shared" si="16"/>
        <v>1.6160092256487064</v>
      </c>
      <c r="AI58" s="3"/>
    </row>
    <row r="59" spans="10:36" ht="13">
      <c r="S59" s="67">
        <f>EXP(S48)</f>
        <v>0.27652524280719426</v>
      </c>
      <c r="T59" s="35"/>
      <c r="U59" s="35"/>
      <c r="V59" s="67">
        <f>EXP(V48)</f>
        <v>12.07855295550554</v>
      </c>
      <c r="W59" s="35"/>
      <c r="X59" s="35"/>
      <c r="Y59" s="67">
        <f>EXP(Y48)</f>
        <v>0.46929535553225687</v>
      </c>
      <c r="Z59" s="35"/>
      <c r="AA59" s="35"/>
      <c r="AB59" s="67">
        <f>EXP(AB48)</f>
        <v>0.14405722842357441</v>
      </c>
      <c r="AD59" s="35"/>
      <c r="AE59" s="67">
        <f>EXP(AE48)</f>
        <v>9.6029686924814115</v>
      </c>
      <c r="AG59" s="35"/>
      <c r="AH59" s="67">
        <f>EXP(AH48)</f>
        <v>6.94564704306433</v>
      </c>
      <c r="AI59" s="3"/>
    </row>
    <row r="60" spans="10:36" ht="13">
      <c r="Q60" s="34"/>
      <c r="S60" s="67">
        <f>EXP(S49)</f>
        <v>5.8100086238425401</v>
      </c>
      <c r="T60" s="35"/>
      <c r="U60" s="35"/>
      <c r="V60" s="67">
        <f>EXP(V49)</f>
        <v>54.350290390182302</v>
      </c>
      <c r="W60" s="35"/>
      <c r="X60" s="35"/>
      <c r="Y60" s="67">
        <f>EXP(Y49)</f>
        <v>9.2591630329338752</v>
      </c>
      <c r="Z60" s="35"/>
      <c r="AA60" s="35"/>
      <c r="AB60" s="67">
        <f>EXP(AB49)</f>
        <v>7.0685417868297948</v>
      </c>
      <c r="AD60" s="35"/>
      <c r="AE60" s="67">
        <f>EXP(AE49)</f>
        <v>54.40882178235379</v>
      </c>
      <c r="AG60" s="35"/>
      <c r="AH60" s="67">
        <f>EXP(AH49)</f>
        <v>52.112389182851281</v>
      </c>
      <c r="AI60" s="3"/>
    </row>
    <row r="61" spans="10:36" ht="13" customHeight="1">
      <c r="Q61" s="68" t="s">
        <v>40</v>
      </c>
      <c r="S61" s="3" t="s">
        <v>12</v>
      </c>
      <c r="T61" s="35"/>
      <c r="U61" s="35"/>
      <c r="V61" s="3" t="s">
        <v>12</v>
      </c>
      <c r="W61" s="35"/>
      <c r="X61" s="35"/>
      <c r="Y61" s="3" t="s">
        <v>12</v>
      </c>
      <c r="Z61" s="35"/>
      <c r="AA61" s="35"/>
      <c r="AB61" s="3" t="s">
        <v>12</v>
      </c>
      <c r="AD61" s="35"/>
      <c r="AE61" s="3" t="s">
        <v>12</v>
      </c>
      <c r="AG61" s="35"/>
      <c r="AH61" s="3" t="s">
        <v>12</v>
      </c>
      <c r="AI61" s="3"/>
    </row>
    <row r="62" spans="10:36" ht="13">
      <c r="M62" s="5" t="s">
        <v>29</v>
      </c>
      <c r="R62" s="3" t="s">
        <v>30</v>
      </c>
      <c r="S62" s="44">
        <f>S51/SUM(S$51:S$60)</f>
        <v>8.5007115089178863E-3</v>
      </c>
      <c r="U62" s="3" t="s">
        <v>31</v>
      </c>
      <c r="V62" s="44">
        <f>V51/SUM(V$51:V$60)</f>
        <v>0.51004329977632679</v>
      </c>
      <c r="X62" s="3" t="s">
        <v>32</v>
      </c>
      <c r="Y62" s="44">
        <f>Y51/SUM(Y$51:Y$60)</f>
        <v>4.5016969900116503E-3</v>
      </c>
      <c r="AA62" s="3" t="s">
        <v>33</v>
      </c>
      <c r="AB62" s="44">
        <f>AB51/SUM(AB$51:AB$60)</f>
        <v>4.871241092749677E-3</v>
      </c>
      <c r="AD62" s="3" t="s">
        <v>55</v>
      </c>
      <c r="AE62" s="44">
        <f>AE51/SUM(AE$51:AE$60)</f>
        <v>0.51729981266764491</v>
      </c>
      <c r="AG62" s="3" t="s">
        <v>54</v>
      </c>
      <c r="AH62" s="44">
        <f>AH51/SUM(AH$51:AH$60)</f>
        <v>0.45871613046921311</v>
      </c>
      <c r="AI62" s="3"/>
      <c r="AJ62" s="28"/>
    </row>
    <row r="63" spans="10:36" ht="13">
      <c r="M63" s="5"/>
      <c r="R63" s="3"/>
      <c r="S63" s="44">
        <f t="shared" ref="S63:S69" si="17">S52/SUM(S$51:S$60)</f>
        <v>6.473932335626255E-3</v>
      </c>
      <c r="U63" s="3"/>
      <c r="V63" s="44">
        <f t="shared" ref="V63:V69" si="18">V52/SUM(V$51:V$60)</f>
        <v>9.4086151216358545E-3</v>
      </c>
      <c r="X63" s="3"/>
      <c r="Y63" s="44">
        <f t="shared" ref="Y63:Y69" si="19">Y52/SUM(Y$51:Y$60)</f>
        <v>7.366088368897703E-3</v>
      </c>
      <c r="AA63" s="3"/>
      <c r="AB63" s="44">
        <f t="shared" ref="AB63:AB69" si="20">AB52/SUM(AB$51:AB$60)</f>
        <v>5.0740516123596357E-3</v>
      </c>
      <c r="AD63" s="3"/>
      <c r="AE63" s="44">
        <f t="shared" ref="AE63:AE69" si="21">AE52/SUM(AE$51:AE$60)</f>
        <v>9.538736061371865E-3</v>
      </c>
      <c r="AG63" s="3"/>
      <c r="AH63" s="44">
        <f t="shared" ref="AH63:AH69" si="22">AH52/SUM(AH$51:AH$60)</f>
        <v>1.1400781287106292E-2</v>
      </c>
      <c r="AI63" s="3"/>
      <c r="AJ63" s="28"/>
    </row>
    <row r="64" spans="10:36" ht="13">
      <c r="M64" s="5"/>
      <c r="R64" s="3"/>
      <c r="S64" s="44">
        <f t="shared" si="17"/>
        <v>2.2320797061635235E-2</v>
      </c>
      <c r="U64" s="3"/>
      <c r="V64" s="44">
        <f t="shared" si="18"/>
        <v>0.188836121276833</v>
      </c>
      <c r="X64" s="3"/>
      <c r="Y64" s="44">
        <f t="shared" si="19"/>
        <v>1.1846448228280628E-2</v>
      </c>
      <c r="AA64" s="3"/>
      <c r="AB64" s="44">
        <f t="shared" si="20"/>
        <v>1.3200442596708446E-2</v>
      </c>
      <c r="AD64" s="3"/>
      <c r="AE64" s="44">
        <f t="shared" si="21"/>
        <v>0.19145454147921992</v>
      </c>
      <c r="AG64" s="3"/>
      <c r="AH64" s="44">
        <f t="shared" si="22"/>
        <v>0.21422200705050778</v>
      </c>
      <c r="AI64" s="3"/>
      <c r="AJ64" s="28"/>
    </row>
    <row r="65" spans="13:36" ht="13">
      <c r="M65" s="5"/>
      <c r="R65" s="3"/>
      <c r="S65" s="44">
        <f t="shared" si="17"/>
        <v>0.10238161540577979</v>
      </c>
      <c r="U65" s="3"/>
      <c r="V65" s="44">
        <f t="shared" si="18"/>
        <v>5.6597144522582046E-3</v>
      </c>
      <c r="X65" s="3"/>
      <c r="Y65" s="44">
        <f t="shared" si="19"/>
        <v>4.2455393534344764E-2</v>
      </c>
      <c r="AA65" s="3"/>
      <c r="AB65" s="44">
        <f t="shared" si="20"/>
        <v>9.6634446007121427E-2</v>
      </c>
      <c r="AD65" s="3"/>
      <c r="AE65" s="44">
        <f t="shared" si="21"/>
        <v>4.5622166280629732E-3</v>
      </c>
      <c r="AG65" s="3"/>
      <c r="AH65" s="44">
        <f t="shared" si="22"/>
        <v>4.2749268656147674E-3</v>
      </c>
      <c r="AI65" s="3"/>
      <c r="AJ65" s="28"/>
    </row>
    <row r="66" spans="13:36" ht="13">
      <c r="M66" s="5"/>
      <c r="R66" s="3"/>
      <c r="S66" s="44">
        <f t="shared" si="17"/>
        <v>1.7586173619014753E-2</v>
      </c>
      <c r="U66" s="3"/>
      <c r="V66" s="44">
        <f t="shared" si="18"/>
        <v>2.5557737883059508E-2</v>
      </c>
      <c r="X66" s="3"/>
      <c r="Y66" s="44">
        <f t="shared" si="19"/>
        <v>9.3096243166515442E-3</v>
      </c>
      <c r="AA66" s="3"/>
      <c r="AB66" s="44">
        <f t="shared" si="20"/>
        <v>1.3139243999672293E-2</v>
      </c>
      <c r="AD66" s="3"/>
      <c r="AE66" s="44">
        <f t="shared" si="21"/>
        <v>2.5912808712802337E-2</v>
      </c>
      <c r="AG66" s="3"/>
      <c r="AH66" s="44">
        <f t="shared" si="22"/>
        <v>3.0042091244256799E-2</v>
      </c>
      <c r="AI66" s="3"/>
      <c r="AJ66" s="28"/>
    </row>
    <row r="67" spans="13:36" ht="13">
      <c r="M67" s="5"/>
      <c r="R67" s="3"/>
      <c r="S67" s="44">
        <f t="shared" si="17"/>
        <v>4.6146046169639847E-2</v>
      </c>
      <c r="U67" s="3"/>
      <c r="V67" s="44">
        <f t="shared" si="18"/>
        <v>9.4551957518150213E-3</v>
      </c>
      <c r="X67" s="3"/>
      <c r="Y67" s="44">
        <f t="shared" si="19"/>
        <v>5.2498090280975053E-2</v>
      </c>
      <c r="AA67" s="3"/>
      <c r="AB67" s="44">
        <f t="shared" si="20"/>
        <v>3.7376461553716128E-2</v>
      </c>
      <c r="AD67" s="3"/>
      <c r="AE67" s="44">
        <f t="shared" si="21"/>
        <v>9.584183783495669E-3</v>
      </c>
      <c r="AG67" s="3"/>
      <c r="AH67" s="44">
        <f t="shared" si="22"/>
        <v>1.4461277149981635E-2</v>
      </c>
      <c r="AI67" s="3"/>
      <c r="AJ67" s="28"/>
    </row>
    <row r="68" spans="13:36" ht="13">
      <c r="M68" s="5"/>
      <c r="R68" s="3"/>
      <c r="S68" s="44">
        <f t="shared" si="17"/>
        <v>8.211362349535541E-3</v>
      </c>
      <c r="U68" s="3"/>
      <c r="V68" s="44">
        <f t="shared" si="18"/>
        <v>1.5382266266781401E-2</v>
      </c>
      <c r="X68" s="3"/>
      <c r="Y68" s="44">
        <f t="shared" si="19"/>
        <v>7.3478585088141033E-3</v>
      </c>
      <c r="AA68" s="3"/>
      <c r="AB68" s="44">
        <f t="shared" si="20"/>
        <v>5.0975759761370905E-3</v>
      </c>
      <c r="AD68" s="3"/>
      <c r="AE68" s="44">
        <f t="shared" si="21"/>
        <v>1.2399063467501366E-2</v>
      </c>
      <c r="AG68" s="3"/>
      <c r="AH68" s="44">
        <f t="shared" si="22"/>
        <v>1.1159397970513392E-2</v>
      </c>
      <c r="AI68" s="3"/>
      <c r="AJ68" s="28"/>
    </row>
    <row r="69" spans="13:36" ht="13">
      <c r="M69" s="5"/>
      <c r="R69" s="3"/>
      <c r="S69" s="44">
        <f t="shared" si="17"/>
        <v>0.7039887103433865</v>
      </c>
      <c r="U69" s="3"/>
      <c r="V69" s="44">
        <f t="shared" si="18"/>
        <v>5.7087059856928326E-3</v>
      </c>
      <c r="X69" s="3"/>
      <c r="Y69" s="44">
        <f t="shared" si="19"/>
        <v>0.79336978444361594</v>
      </c>
      <c r="AA69" s="3"/>
      <c r="AB69" s="44">
        <f t="shared" si="20"/>
        <v>0.73027778834554646</v>
      </c>
      <c r="AD69" s="3"/>
      <c r="AE69" s="44">
        <f t="shared" si="21"/>
        <v>4.6019354201572897E-3</v>
      </c>
      <c r="AG69" s="3"/>
      <c r="AH69" s="44">
        <f t="shared" si="22"/>
        <v>6.8110070967978224E-3</v>
      </c>
      <c r="AI69" s="3"/>
      <c r="AJ69" s="28"/>
    </row>
    <row r="70" spans="13:36" ht="13">
      <c r="S70" s="44">
        <f>S59/SUM(S$51:S$60)</f>
        <v>3.8340615244731864E-3</v>
      </c>
      <c r="V70" s="44">
        <f>V59/SUM(V$51:V$60)</f>
        <v>4.1810802415572404E-2</v>
      </c>
      <c r="Y70" s="44">
        <f>Y59/SUM(Y$51:Y$60)</f>
        <v>3.4397137946801264E-3</v>
      </c>
      <c r="AB70" s="44">
        <f>AB59/SUM(AB$51:AB$60)</f>
        <v>1.8840279469795964E-3</v>
      </c>
      <c r="AE70" s="44">
        <f>AE59/SUM(AE$51:AE$60)</f>
        <v>3.3701217042322387E-2</v>
      </c>
      <c r="AH70" s="44">
        <f>AH59/SUM(AH$51:AH$60)</f>
        <v>2.9273874524555276E-2</v>
      </c>
      <c r="AI70" s="3"/>
    </row>
    <row r="71" spans="13:36" ht="13">
      <c r="S71" s="44">
        <f>S60/SUM(S$51:S$60)</f>
        <v>8.0556589681991031E-2</v>
      </c>
      <c r="V71" s="44">
        <f>V60/SUM(V$51:V$60)</f>
        <v>0.18813754107002503</v>
      </c>
      <c r="Y71" s="44">
        <f>Y60/SUM(Y$51:Y$60)</f>
        <v>6.7865301533728495E-2</v>
      </c>
      <c r="AB71" s="44">
        <f>AB60/SUM(AB$51:AB$60)</f>
        <v>9.244472086900915E-2</v>
      </c>
      <c r="AE71" s="44">
        <f>AE60/SUM(AE$51:AE$60)</f>
        <v>0.19094548473742121</v>
      </c>
      <c r="AH71" s="44">
        <f>AH60/SUM(AH$51:AH$60)</f>
        <v>0.21963850634145313</v>
      </c>
      <c r="AI71" s="3"/>
    </row>
    <row r="72" spans="13:36" ht="13">
      <c r="AG72" s="3"/>
      <c r="AH72" s="3"/>
      <c r="AI72" s="3"/>
    </row>
    <row r="73" spans="13:36" ht="13">
      <c r="AG73" s="3"/>
      <c r="AH73" s="3"/>
      <c r="AI73" s="3"/>
    </row>
    <row r="74" spans="13:36" ht="13">
      <c r="AG74" s="3"/>
      <c r="AH74" s="3"/>
      <c r="AI74" s="3"/>
    </row>
    <row r="75" spans="13:36" ht="13">
      <c r="AG75" s="3"/>
      <c r="AH75" s="3"/>
      <c r="AI75" s="3"/>
    </row>
    <row r="76" spans="13:36" ht="13">
      <c r="AG76" s="3"/>
      <c r="AH76" s="3"/>
      <c r="AI76" s="3"/>
    </row>
    <row r="77" spans="13:36" ht="13">
      <c r="AG77" s="3"/>
      <c r="AH77" s="3"/>
      <c r="AI77" s="3"/>
    </row>
    <row r="78" spans="13:36" ht="13">
      <c r="AH78" s="3"/>
      <c r="AI78" s="3"/>
    </row>
    <row r="79" spans="13:36" ht="13">
      <c r="AH79" s="3"/>
      <c r="AI79" s="3"/>
    </row>
    <row r="80" spans="13:36" ht="13">
      <c r="AH80" s="3"/>
      <c r="AI80" s="3"/>
    </row>
    <row r="81" spans="34:35" ht="13">
      <c r="AH81" s="3"/>
      <c r="AI81" s="3"/>
    </row>
    <row r="82" spans="34:35" ht="13">
      <c r="AH82" s="3"/>
      <c r="AI82" s="3"/>
    </row>
    <row r="83" spans="34:35" ht="13">
      <c r="AH83" s="3"/>
      <c r="AI83" s="3"/>
    </row>
    <row r="84" spans="34:35" ht="13">
      <c r="AH84" s="3"/>
      <c r="AI84" s="3"/>
    </row>
    <row r="85" spans="34:35" ht="13">
      <c r="AH85" s="3"/>
      <c r="AI85" s="3"/>
    </row>
    <row r="86" spans="34:35" ht="13">
      <c r="AH86" s="3"/>
      <c r="AI86" s="3"/>
    </row>
    <row r="87" spans="34:35" ht="13">
      <c r="AH87" s="3"/>
      <c r="AI87" s="3"/>
    </row>
    <row r="88" spans="34:35" ht="13">
      <c r="AH88" s="3"/>
      <c r="AI88" s="3"/>
    </row>
    <row r="89" spans="34:35" ht="13">
      <c r="AH89" s="3"/>
      <c r="AI89" s="3"/>
    </row>
    <row r="90" spans="34:35" ht="13">
      <c r="AH90" s="3"/>
      <c r="AI90" s="3"/>
    </row>
    <row r="91" spans="34:35" ht="13">
      <c r="AH91" s="3"/>
      <c r="AI91" s="3"/>
    </row>
    <row r="92" spans="34:35" ht="13">
      <c r="AH92" s="3"/>
      <c r="AI92" s="3"/>
    </row>
    <row r="93" spans="34:35" ht="13">
      <c r="AH93" s="3"/>
      <c r="AI93" s="3"/>
    </row>
    <row r="94" spans="34:35" ht="13">
      <c r="AH94" s="3"/>
      <c r="AI94" s="3"/>
    </row>
    <row r="95" spans="34:35" ht="13">
      <c r="AH95" s="3"/>
      <c r="AI95" s="3"/>
    </row>
    <row r="96" spans="34:35" ht="13">
      <c r="AH96" s="3"/>
      <c r="AI96" s="3"/>
    </row>
    <row r="97" spans="34:35" ht="13">
      <c r="AH97" s="3"/>
      <c r="AI97" s="3"/>
    </row>
    <row r="98" spans="34:35" ht="13">
      <c r="AH98" s="3"/>
      <c r="AI98" s="3"/>
    </row>
    <row r="99" spans="34:35" ht="13">
      <c r="AH99" s="3"/>
      <c r="AI99" s="3"/>
    </row>
    <row r="100" spans="34:35" ht="13">
      <c r="AH100" s="3"/>
      <c r="AI100" s="3"/>
    </row>
    <row r="101" spans="34:35" ht="13">
      <c r="AH101" s="3"/>
      <c r="AI101" s="3"/>
    </row>
    <row r="102" spans="34:35" ht="13">
      <c r="AH102" s="3"/>
      <c r="AI102" s="3"/>
    </row>
    <row r="103" spans="34:35" ht="13">
      <c r="AH103" s="3"/>
      <c r="AI103" s="3"/>
    </row>
    <row r="104" spans="34:35" ht="13">
      <c r="AH104" s="3"/>
      <c r="AI104" s="3"/>
    </row>
    <row r="105" spans="34:35" ht="13">
      <c r="AH105" s="3"/>
      <c r="AI105" s="3"/>
    </row>
    <row r="106" spans="34:35" ht="13">
      <c r="AH106" s="3"/>
      <c r="AI106" s="3"/>
    </row>
    <row r="107" spans="34:35" ht="13">
      <c r="AH107" s="3"/>
      <c r="AI107" s="3"/>
    </row>
    <row r="108" spans="34:35" ht="13">
      <c r="AH108" s="3"/>
      <c r="AI108" s="3"/>
    </row>
    <row r="109" spans="34:35" ht="13">
      <c r="AH109" s="3"/>
      <c r="AI109" s="3"/>
    </row>
    <row r="110" spans="34:35" ht="13">
      <c r="AH110" s="3"/>
      <c r="AI110" s="3"/>
    </row>
    <row r="111" spans="34:35" ht="13">
      <c r="AH111" s="3"/>
      <c r="AI111" s="3"/>
    </row>
    <row r="112" spans="34:35" ht="13">
      <c r="AH112" s="3"/>
      <c r="AI112" s="3"/>
    </row>
    <row r="113" spans="34:35" ht="13">
      <c r="AH113" s="3"/>
      <c r="AI113" s="3"/>
    </row>
    <row r="114" spans="34:35" ht="13">
      <c r="AH114" s="3"/>
      <c r="AI114" s="3"/>
    </row>
    <row r="115" spans="34:35" ht="13">
      <c r="AH115" s="3"/>
      <c r="AI115" s="3"/>
    </row>
    <row r="116" spans="34:35" ht="13">
      <c r="AH116" s="3"/>
      <c r="AI116" s="3"/>
    </row>
    <row r="117" spans="34:35" ht="13">
      <c r="AH117" s="3"/>
      <c r="AI117" s="3"/>
    </row>
    <row r="118" spans="34:35" ht="13">
      <c r="AH118" s="3"/>
      <c r="AI118" s="3"/>
    </row>
    <row r="119" spans="34:35" ht="13">
      <c r="AH119" s="3"/>
      <c r="AI119" s="3"/>
    </row>
    <row r="120" spans="34:35" ht="13">
      <c r="AH120" s="3"/>
      <c r="AI120" s="3"/>
    </row>
    <row r="121" spans="34:35" ht="13">
      <c r="AH121" s="3"/>
      <c r="AI121" s="3"/>
    </row>
    <row r="122" spans="34:35" ht="13">
      <c r="AH122" s="3"/>
      <c r="AI122" s="3"/>
    </row>
    <row r="123" spans="34:35" ht="13">
      <c r="AH123" s="3"/>
      <c r="AI123" s="3"/>
    </row>
    <row r="124" spans="34:35" ht="13">
      <c r="AH124" s="3"/>
      <c r="AI124" s="3"/>
    </row>
    <row r="125" spans="34:35" ht="13">
      <c r="AH125" s="3"/>
      <c r="AI125" s="3"/>
    </row>
    <row r="126" spans="34:35" ht="13">
      <c r="AH126" s="3"/>
      <c r="AI126" s="3"/>
    </row>
    <row r="127" spans="34:35" ht="13">
      <c r="AH127" s="3"/>
      <c r="AI127" s="3"/>
    </row>
    <row r="128" spans="34:35" ht="13">
      <c r="AH128" s="3"/>
      <c r="AI128" s="3"/>
    </row>
    <row r="129" spans="34:35" ht="13">
      <c r="AH129" s="3"/>
      <c r="AI129" s="3"/>
    </row>
    <row r="130" spans="34:35" ht="13">
      <c r="AH130" s="3"/>
      <c r="AI130" s="3"/>
    </row>
    <row r="131" spans="34:35" ht="13">
      <c r="AH131" s="3"/>
      <c r="AI131" s="3"/>
    </row>
    <row r="132" spans="34:35" ht="13">
      <c r="AH132" s="3"/>
      <c r="AI132" s="3"/>
    </row>
    <row r="133" spans="34:35" ht="13">
      <c r="AH133" s="3"/>
      <c r="AI133" s="3"/>
    </row>
    <row r="134" spans="34:35" ht="13">
      <c r="AH134" s="3"/>
      <c r="AI134" s="3"/>
    </row>
    <row r="135" spans="34:35" ht="13">
      <c r="AH135" s="3"/>
      <c r="AI135" s="3"/>
    </row>
    <row r="136" spans="34:35" ht="13">
      <c r="AH136" s="3"/>
      <c r="AI136" s="3"/>
    </row>
    <row r="137" spans="34:35" ht="13">
      <c r="AH137" s="3"/>
      <c r="AI137" s="3"/>
    </row>
    <row r="138" spans="34:35" ht="13">
      <c r="AH138" s="3"/>
      <c r="AI138" s="3"/>
    </row>
    <row r="139" spans="34:35" ht="13">
      <c r="AH139" s="3"/>
      <c r="AI139" s="3"/>
    </row>
    <row r="140" spans="34:35" ht="13">
      <c r="AH140" s="3"/>
      <c r="AI140" s="3"/>
    </row>
    <row r="141" spans="34:35" ht="13">
      <c r="AH141" s="3"/>
      <c r="AI141" s="3"/>
    </row>
    <row r="142" spans="34:35" ht="13">
      <c r="AH142" s="3"/>
      <c r="AI142" s="3"/>
    </row>
    <row r="143" spans="34:35" ht="13">
      <c r="AH143" s="3"/>
      <c r="AI143" s="3"/>
    </row>
    <row r="144" spans="34:35" ht="13">
      <c r="AH144" s="3"/>
      <c r="AI144" s="3"/>
    </row>
    <row r="145" spans="34:35" ht="13">
      <c r="AH145" s="3"/>
      <c r="AI145" s="3"/>
    </row>
    <row r="146" spans="34:35" ht="13">
      <c r="AH146" s="3"/>
      <c r="AI146" s="3"/>
    </row>
    <row r="147" spans="34:35" ht="13">
      <c r="AH147" s="3"/>
      <c r="AI147" s="3"/>
    </row>
    <row r="148" spans="34:35" ht="13">
      <c r="AH148" s="3"/>
      <c r="AI148" s="3"/>
    </row>
    <row r="149" spans="34:35" ht="13">
      <c r="AH149" s="3"/>
      <c r="AI149" s="3"/>
    </row>
    <row r="150" spans="34:35" ht="13">
      <c r="AH150" s="3"/>
      <c r="AI150" s="3"/>
    </row>
    <row r="151" spans="34:35" ht="13">
      <c r="AH151" s="3"/>
      <c r="AI151" s="3"/>
    </row>
    <row r="152" spans="34:35" ht="13">
      <c r="AH152" s="3"/>
      <c r="AI152" s="3"/>
    </row>
    <row r="153" spans="34:35" ht="13">
      <c r="AH153" s="3"/>
      <c r="AI153" s="3"/>
    </row>
    <row r="154" spans="34:35" ht="13">
      <c r="AH154" s="3"/>
      <c r="AI154" s="3"/>
    </row>
    <row r="155" spans="34:35" ht="13">
      <c r="AH155" s="3"/>
      <c r="AI155" s="3"/>
    </row>
    <row r="156" spans="34:35" ht="13">
      <c r="AH156" s="3"/>
      <c r="AI156" s="3"/>
    </row>
    <row r="157" spans="34:35" ht="13">
      <c r="AH157" s="3"/>
      <c r="AI157" s="3"/>
    </row>
    <row r="158" spans="34:35" ht="13">
      <c r="AH158" s="3"/>
      <c r="AI158" s="3"/>
    </row>
    <row r="159" spans="34:35" ht="13">
      <c r="AH159" s="3"/>
      <c r="AI159" s="3"/>
    </row>
    <row r="160" spans="34:35" ht="13">
      <c r="AH160" s="3"/>
      <c r="AI160" s="3"/>
    </row>
    <row r="161" spans="34:35" ht="13">
      <c r="AH161" s="3"/>
      <c r="AI161" s="3"/>
    </row>
    <row r="162" spans="34:35" ht="13">
      <c r="AH162" s="3"/>
      <c r="AI162" s="3"/>
    </row>
    <row r="163" spans="34:35" ht="13">
      <c r="AH163" s="3"/>
      <c r="AI163" s="3"/>
    </row>
    <row r="164" spans="34:35" ht="13">
      <c r="AH164" s="3"/>
      <c r="AI164" s="3"/>
    </row>
    <row r="165" spans="34:35" ht="13">
      <c r="AH165" s="3"/>
      <c r="AI165" s="3"/>
    </row>
    <row r="166" spans="34:35" ht="13">
      <c r="AH166" s="3"/>
      <c r="AI166" s="3"/>
    </row>
    <row r="167" spans="34:35" ht="13">
      <c r="AH167" s="3"/>
      <c r="AI167" s="3"/>
    </row>
    <row r="168" spans="34:35" ht="13">
      <c r="AH168" s="3"/>
      <c r="AI168" s="3"/>
    </row>
    <row r="169" spans="34:35" ht="13">
      <c r="AH169" s="3"/>
      <c r="AI169" s="3"/>
    </row>
    <row r="170" spans="34:35" ht="13">
      <c r="AH170" s="3"/>
      <c r="AI170" s="3"/>
    </row>
    <row r="171" spans="34:35" ht="13">
      <c r="AH171" s="3"/>
      <c r="AI171" s="3"/>
    </row>
    <row r="172" spans="34:35" ht="13">
      <c r="AH172" s="3"/>
      <c r="AI172" s="3"/>
    </row>
    <row r="173" spans="34:35" ht="13">
      <c r="AH173" s="3"/>
      <c r="AI173" s="3"/>
    </row>
    <row r="174" spans="34:35" ht="13">
      <c r="AH174" s="3"/>
      <c r="AI174" s="3"/>
    </row>
    <row r="175" spans="34:35" ht="13">
      <c r="AH175" s="3"/>
      <c r="AI175" s="3"/>
    </row>
    <row r="176" spans="34:35" ht="13">
      <c r="AH176" s="3"/>
      <c r="AI176" s="3"/>
    </row>
    <row r="177" spans="34:35" ht="13">
      <c r="AH177" s="3"/>
      <c r="AI177" s="3"/>
    </row>
    <row r="178" spans="34:35" ht="13">
      <c r="AH178" s="3"/>
      <c r="AI178" s="3"/>
    </row>
    <row r="179" spans="34:35" ht="13">
      <c r="AH179" s="3"/>
      <c r="AI179" s="3"/>
    </row>
    <row r="180" spans="34:35" ht="13">
      <c r="AH180" s="3"/>
      <c r="AI180" s="3"/>
    </row>
    <row r="181" spans="34:35" ht="13">
      <c r="AH181" s="3"/>
      <c r="AI181" s="3"/>
    </row>
    <row r="182" spans="34:35" ht="13">
      <c r="AH182" s="3"/>
      <c r="AI182" s="3"/>
    </row>
    <row r="183" spans="34:35" ht="13">
      <c r="AH183" s="3"/>
      <c r="AI183" s="3"/>
    </row>
    <row r="184" spans="34:35" ht="13">
      <c r="AH184" s="3"/>
      <c r="AI184" s="3"/>
    </row>
    <row r="185" spans="34:35" ht="13">
      <c r="AH185" s="3"/>
      <c r="AI185" s="3"/>
    </row>
    <row r="186" spans="34:35" ht="13">
      <c r="AH186" s="3"/>
      <c r="AI186" s="3"/>
    </row>
    <row r="187" spans="34:35" ht="13">
      <c r="AH187" s="3"/>
      <c r="AI187" s="3"/>
    </row>
    <row r="188" spans="34:35" ht="13">
      <c r="AH188" s="3"/>
      <c r="AI188" s="3"/>
    </row>
    <row r="189" spans="34:35" ht="13">
      <c r="AH189" s="3"/>
      <c r="AI189" s="3"/>
    </row>
    <row r="190" spans="34:35" ht="13">
      <c r="AH190" s="3"/>
      <c r="AI190" s="3"/>
    </row>
    <row r="191" spans="34:35" ht="13">
      <c r="AH191" s="3"/>
      <c r="AI191" s="3"/>
    </row>
    <row r="192" spans="34:35" ht="13">
      <c r="AH192" s="3"/>
      <c r="AI192" s="3"/>
    </row>
    <row r="193" spans="34:35" ht="13">
      <c r="AH193" s="3"/>
      <c r="AI193" s="3"/>
    </row>
    <row r="194" spans="34:35" ht="13">
      <c r="AH194" s="3"/>
      <c r="AI194" s="3"/>
    </row>
    <row r="195" spans="34:35" ht="13">
      <c r="AH195" s="3"/>
      <c r="AI195" s="3"/>
    </row>
    <row r="196" spans="34:35" ht="13">
      <c r="AH196" s="3"/>
      <c r="AI196" s="3"/>
    </row>
    <row r="197" spans="34:35" ht="13">
      <c r="AH197" s="3"/>
      <c r="AI197" s="3"/>
    </row>
    <row r="198" spans="34:35" ht="13">
      <c r="AH198" s="3"/>
      <c r="AI198" s="3"/>
    </row>
    <row r="199" spans="34:35" ht="13">
      <c r="AH199" s="3"/>
      <c r="AI199" s="3"/>
    </row>
    <row r="200" spans="34:35" ht="13">
      <c r="AH200" s="3"/>
      <c r="AI200" s="3"/>
    </row>
    <row r="201" spans="34:35" ht="13">
      <c r="AH201" s="3"/>
      <c r="AI201" s="3"/>
    </row>
    <row r="202" spans="34:35" ht="13">
      <c r="AH202" s="3"/>
      <c r="AI202" s="3"/>
    </row>
    <row r="203" spans="34:35" ht="13">
      <c r="AH203" s="3"/>
      <c r="AI203" s="3"/>
    </row>
    <row r="204" spans="34:35" ht="13">
      <c r="AH204" s="3"/>
      <c r="AI204" s="3"/>
    </row>
    <row r="205" spans="34:35" ht="13">
      <c r="AH205" s="3"/>
      <c r="AI205" s="3"/>
    </row>
    <row r="206" spans="34:35" ht="13">
      <c r="AH206" s="3"/>
      <c r="AI206" s="3"/>
    </row>
    <row r="207" spans="34:35" ht="13">
      <c r="AH207" s="3"/>
      <c r="AI207" s="3"/>
    </row>
    <row r="208" spans="34:35" ht="13">
      <c r="AH208" s="3"/>
      <c r="AI208" s="3"/>
    </row>
    <row r="209" spans="34:35" ht="13">
      <c r="AH209" s="3"/>
      <c r="AI209" s="3"/>
    </row>
    <row r="210" spans="34:35" ht="13">
      <c r="AH210" s="3"/>
      <c r="AI210" s="3"/>
    </row>
    <row r="211" spans="34:35" ht="13">
      <c r="AH211" s="3"/>
      <c r="AI211" s="3"/>
    </row>
    <row r="212" spans="34:35" ht="13">
      <c r="AH212" s="3"/>
      <c r="AI212" s="3"/>
    </row>
    <row r="213" spans="34:35" ht="13">
      <c r="AH213" s="3"/>
      <c r="AI213" s="3"/>
    </row>
    <row r="214" spans="34:35" ht="13">
      <c r="AH214" s="3"/>
      <c r="AI214" s="3"/>
    </row>
    <row r="215" spans="34:35" ht="13">
      <c r="AH215" s="3"/>
      <c r="AI215" s="3"/>
    </row>
    <row r="216" spans="34:35" ht="13">
      <c r="AH216" s="3"/>
      <c r="AI216" s="3"/>
    </row>
    <row r="217" spans="34:35" ht="13">
      <c r="AH217" s="3"/>
      <c r="AI217" s="3"/>
    </row>
    <row r="218" spans="34:35" ht="13">
      <c r="AH218" s="3"/>
      <c r="AI218" s="3"/>
    </row>
    <row r="219" spans="34:35" ht="13">
      <c r="AH219" s="3"/>
      <c r="AI219" s="3"/>
    </row>
    <row r="220" spans="34:35" ht="13">
      <c r="AH220" s="3"/>
      <c r="AI220" s="3"/>
    </row>
    <row r="221" spans="34:35" ht="13">
      <c r="AH221" s="3"/>
      <c r="AI221" s="3"/>
    </row>
    <row r="222" spans="34:35" ht="13">
      <c r="AH222" s="3"/>
      <c r="AI222" s="3"/>
    </row>
    <row r="223" spans="34:35" ht="13">
      <c r="AH223" s="3"/>
      <c r="AI223" s="3"/>
    </row>
    <row r="224" spans="34:35" ht="13">
      <c r="AH224" s="3"/>
      <c r="AI224" s="3"/>
    </row>
    <row r="225" spans="34:35" ht="13">
      <c r="AH225" s="3"/>
      <c r="AI225" s="3"/>
    </row>
    <row r="226" spans="34:35" ht="13">
      <c r="AH226" s="3"/>
      <c r="AI226" s="3"/>
    </row>
    <row r="227" spans="34:35" ht="13">
      <c r="AH227" s="3"/>
      <c r="AI227" s="3"/>
    </row>
    <row r="228" spans="34:35" ht="13">
      <c r="AH228" s="3"/>
      <c r="AI228" s="3"/>
    </row>
    <row r="229" spans="34:35" ht="13">
      <c r="AH229" s="3"/>
      <c r="AI229" s="3"/>
    </row>
    <row r="230" spans="34:35" ht="13">
      <c r="AH230" s="3"/>
      <c r="AI230" s="3"/>
    </row>
    <row r="231" spans="34:35" ht="13">
      <c r="AH231" s="3"/>
      <c r="AI231" s="3"/>
    </row>
    <row r="232" spans="34:35" ht="13">
      <c r="AH232" s="3"/>
      <c r="AI232" s="3"/>
    </row>
    <row r="233" spans="34:35" ht="13">
      <c r="AH233" s="3"/>
      <c r="AI233" s="3"/>
    </row>
    <row r="234" spans="34:35" ht="13">
      <c r="AH234" s="3"/>
      <c r="AI234" s="3"/>
    </row>
    <row r="235" spans="34:35" ht="13">
      <c r="AH235" s="3"/>
      <c r="AI235" s="3"/>
    </row>
    <row r="236" spans="34:35" ht="13">
      <c r="AH236" s="3"/>
      <c r="AI236" s="3"/>
    </row>
    <row r="237" spans="34:35" ht="13">
      <c r="AH237" s="3"/>
      <c r="AI237" s="3"/>
    </row>
    <row r="238" spans="34:35" ht="13">
      <c r="AH238" s="3"/>
      <c r="AI238" s="3"/>
    </row>
    <row r="239" spans="34:35" ht="13">
      <c r="AH239" s="3"/>
      <c r="AI239" s="3"/>
    </row>
    <row r="240" spans="34:35" ht="13">
      <c r="AH240" s="3"/>
      <c r="AI240" s="3"/>
    </row>
    <row r="241" spans="34:35" ht="13">
      <c r="AH241" s="3"/>
      <c r="AI241" s="3"/>
    </row>
    <row r="242" spans="34:35" ht="13">
      <c r="AH242" s="3"/>
      <c r="AI242" s="3"/>
    </row>
    <row r="243" spans="34:35" ht="13">
      <c r="AH243" s="3"/>
      <c r="AI243" s="3"/>
    </row>
    <row r="244" spans="34:35" ht="13">
      <c r="AH244" s="3"/>
      <c r="AI244" s="3"/>
    </row>
    <row r="245" spans="34:35" ht="13">
      <c r="AH245" s="3"/>
      <c r="AI245" s="3"/>
    </row>
    <row r="246" spans="34:35" ht="13">
      <c r="AH246" s="3"/>
      <c r="AI246" s="3"/>
    </row>
    <row r="247" spans="34:35" ht="13">
      <c r="AH247" s="3"/>
      <c r="AI247" s="3"/>
    </row>
    <row r="248" spans="34:35" ht="13">
      <c r="AH248" s="3"/>
      <c r="AI248" s="3"/>
    </row>
    <row r="249" spans="34:35" ht="13">
      <c r="AH249" s="3"/>
      <c r="AI249" s="3"/>
    </row>
    <row r="250" spans="34:35" ht="13">
      <c r="AH250" s="3"/>
      <c r="AI250" s="3"/>
    </row>
    <row r="251" spans="34:35" ht="13">
      <c r="AH251" s="3"/>
      <c r="AI251" s="3"/>
    </row>
    <row r="252" spans="34:35" ht="13">
      <c r="AH252" s="3"/>
      <c r="AI252" s="3"/>
    </row>
    <row r="253" spans="34:35" ht="13">
      <c r="AH253" s="3"/>
      <c r="AI253" s="3"/>
    </row>
    <row r="254" spans="34:35" ht="13">
      <c r="AH254" s="3"/>
      <c r="AI254" s="3"/>
    </row>
    <row r="255" spans="34:35" ht="13">
      <c r="AH255" s="3"/>
      <c r="AI255" s="3"/>
    </row>
    <row r="256" spans="34:35" ht="13">
      <c r="AH256" s="3"/>
      <c r="AI256" s="3"/>
    </row>
    <row r="257" spans="34:35" ht="13">
      <c r="AH257" s="3"/>
      <c r="AI257" s="3"/>
    </row>
    <row r="258" spans="34:35" ht="13">
      <c r="AH258" s="3"/>
      <c r="AI258" s="3"/>
    </row>
    <row r="259" spans="34:35" ht="13">
      <c r="AH259" s="3"/>
      <c r="AI259" s="3"/>
    </row>
    <row r="260" spans="34:35" ht="13">
      <c r="AH260" s="3"/>
      <c r="AI260" s="3"/>
    </row>
    <row r="261" spans="34:35" ht="13">
      <c r="AH261" s="3"/>
      <c r="AI261" s="3"/>
    </row>
    <row r="262" spans="34:35" ht="13">
      <c r="AH262" s="3"/>
      <c r="AI262" s="3"/>
    </row>
    <row r="263" spans="34:35" ht="13">
      <c r="AH263" s="3"/>
      <c r="AI263" s="3"/>
    </row>
    <row r="264" spans="34:35" ht="13">
      <c r="AH264" s="3"/>
      <c r="AI264" s="3"/>
    </row>
    <row r="265" spans="34:35" ht="13">
      <c r="AH265" s="3"/>
      <c r="AI265" s="3"/>
    </row>
    <row r="266" spans="34:35" ht="13">
      <c r="AH266" s="3"/>
      <c r="AI266" s="3"/>
    </row>
    <row r="267" spans="34:35" ht="13">
      <c r="AH267" s="3"/>
      <c r="AI267" s="3"/>
    </row>
    <row r="268" spans="34:35" ht="13">
      <c r="AH268" s="3"/>
      <c r="AI268" s="3"/>
    </row>
    <row r="269" spans="34:35" ht="13">
      <c r="AH269" s="3"/>
      <c r="AI269" s="3"/>
    </row>
    <row r="270" spans="34:35" ht="13">
      <c r="AH270" s="3"/>
      <c r="AI270" s="3"/>
    </row>
    <row r="271" spans="34:35" ht="13">
      <c r="AH271" s="3"/>
      <c r="AI271" s="3"/>
    </row>
    <row r="272" spans="34:35" ht="13">
      <c r="AH272" s="3"/>
      <c r="AI272" s="3"/>
    </row>
    <row r="273" spans="34:35" ht="13">
      <c r="AH273" s="3"/>
      <c r="AI273" s="3"/>
    </row>
    <row r="274" spans="34:35" ht="13">
      <c r="AH274" s="3"/>
      <c r="AI274" s="3"/>
    </row>
    <row r="275" spans="34:35" ht="13">
      <c r="AH275" s="3"/>
      <c r="AI275" s="3"/>
    </row>
    <row r="276" spans="34:35" ht="13">
      <c r="AH276" s="3"/>
      <c r="AI276" s="3"/>
    </row>
    <row r="277" spans="34:35" ht="13">
      <c r="AH277" s="3"/>
      <c r="AI277" s="3"/>
    </row>
    <row r="278" spans="34:35" ht="13">
      <c r="AH278" s="3"/>
      <c r="AI278" s="3"/>
    </row>
    <row r="279" spans="34:35" ht="13">
      <c r="AH279" s="3"/>
      <c r="AI279" s="3"/>
    </row>
    <row r="280" spans="34:35" ht="13">
      <c r="AH280" s="3"/>
      <c r="AI280" s="3"/>
    </row>
    <row r="281" spans="34:35" ht="13">
      <c r="AH281" s="3"/>
      <c r="AI281" s="3"/>
    </row>
    <row r="282" spans="34:35" ht="13">
      <c r="AH282" s="3"/>
      <c r="AI282" s="3"/>
    </row>
    <row r="283" spans="34:35" ht="13">
      <c r="AH283" s="3"/>
      <c r="AI283" s="3"/>
    </row>
    <row r="284" spans="34:35" ht="13">
      <c r="AH284" s="3"/>
      <c r="AI284" s="3"/>
    </row>
    <row r="285" spans="34:35" ht="13">
      <c r="AH285" s="3"/>
      <c r="AI285" s="3"/>
    </row>
    <row r="286" spans="34:35" ht="13">
      <c r="AH286" s="3"/>
      <c r="AI286" s="3"/>
    </row>
    <row r="287" spans="34:35" ht="13">
      <c r="AH287" s="3"/>
      <c r="AI287" s="3"/>
    </row>
    <row r="288" spans="34:35" ht="13">
      <c r="AH288" s="3"/>
      <c r="AI288" s="3"/>
    </row>
    <row r="289" spans="34:35" ht="13">
      <c r="AH289" s="3"/>
      <c r="AI289" s="3"/>
    </row>
    <row r="290" spans="34:35" ht="13">
      <c r="AH290" s="3"/>
      <c r="AI290" s="3"/>
    </row>
    <row r="291" spans="34:35" ht="13">
      <c r="AH291" s="3"/>
      <c r="AI291" s="3"/>
    </row>
    <row r="292" spans="34:35" ht="13">
      <c r="AH292" s="3"/>
      <c r="AI292" s="3"/>
    </row>
    <row r="293" spans="34:35" ht="13">
      <c r="AH293" s="3"/>
      <c r="AI293" s="3"/>
    </row>
    <row r="294" spans="34:35" ht="13">
      <c r="AH294" s="3"/>
      <c r="AI294" s="3"/>
    </row>
    <row r="295" spans="34:35" ht="13">
      <c r="AH295" s="3"/>
      <c r="AI295" s="3"/>
    </row>
    <row r="296" spans="34:35" ht="13">
      <c r="AH296" s="3"/>
      <c r="AI296" s="3"/>
    </row>
    <row r="297" spans="34:35" ht="13">
      <c r="AH297" s="3"/>
      <c r="AI297" s="3"/>
    </row>
    <row r="298" spans="34:35" ht="13">
      <c r="AH298" s="3"/>
      <c r="AI298" s="3"/>
    </row>
    <row r="299" spans="34:35" ht="13">
      <c r="AH299" s="3"/>
      <c r="AI299" s="3"/>
    </row>
    <row r="300" spans="34:35" ht="13">
      <c r="AH300" s="3"/>
      <c r="AI300" s="3"/>
    </row>
    <row r="301" spans="34:35" ht="13">
      <c r="AH301" s="3"/>
      <c r="AI301" s="3"/>
    </row>
    <row r="302" spans="34:35" ht="13">
      <c r="AH302" s="3"/>
      <c r="AI302" s="3"/>
    </row>
    <row r="303" spans="34:35" ht="13">
      <c r="AH303" s="3"/>
      <c r="AI303" s="3"/>
    </row>
    <row r="304" spans="34:35" ht="13">
      <c r="AH304" s="3"/>
      <c r="AI304" s="3"/>
    </row>
    <row r="305" spans="34:35" ht="13">
      <c r="AH305" s="3"/>
      <c r="AI305" s="3"/>
    </row>
    <row r="306" spans="34:35" ht="13">
      <c r="AH306" s="3"/>
      <c r="AI306" s="3"/>
    </row>
    <row r="307" spans="34:35" ht="13">
      <c r="AH307" s="3"/>
      <c r="AI307" s="3"/>
    </row>
    <row r="308" spans="34:35" ht="13">
      <c r="AH308" s="3"/>
      <c r="AI308" s="3"/>
    </row>
    <row r="309" spans="34:35" ht="13">
      <c r="AH309" s="3"/>
      <c r="AI309" s="3"/>
    </row>
    <row r="310" spans="34:35" ht="13">
      <c r="AH310" s="3"/>
      <c r="AI310" s="3"/>
    </row>
    <row r="311" spans="34:35" ht="13">
      <c r="AH311" s="3"/>
      <c r="AI311" s="3"/>
    </row>
    <row r="312" spans="34:35" ht="13">
      <c r="AH312" s="3"/>
      <c r="AI312" s="3"/>
    </row>
    <row r="313" spans="34:35" ht="13">
      <c r="AH313" s="3"/>
      <c r="AI313" s="3"/>
    </row>
    <row r="314" spans="34:35" ht="13">
      <c r="AH314" s="3"/>
      <c r="AI314" s="3"/>
    </row>
    <row r="315" spans="34:35" ht="13">
      <c r="AH315" s="3"/>
      <c r="AI315" s="3"/>
    </row>
    <row r="316" spans="34:35" ht="13">
      <c r="AH316" s="3"/>
      <c r="AI316" s="3"/>
    </row>
    <row r="317" spans="34:35" ht="13">
      <c r="AH317" s="3"/>
      <c r="AI317" s="3"/>
    </row>
    <row r="318" spans="34:35" ht="13">
      <c r="AH318" s="3"/>
      <c r="AI318" s="3"/>
    </row>
    <row r="319" spans="34:35" ht="13">
      <c r="AH319" s="3"/>
      <c r="AI319" s="3"/>
    </row>
    <row r="320" spans="34:35" ht="13">
      <c r="AH320" s="3"/>
      <c r="AI320" s="3"/>
    </row>
    <row r="321" spans="34:35" ht="13">
      <c r="AH321" s="3"/>
      <c r="AI321" s="3"/>
    </row>
    <row r="322" spans="34:35" ht="13">
      <c r="AH322" s="3"/>
      <c r="AI322" s="3"/>
    </row>
    <row r="323" spans="34:35" ht="13">
      <c r="AH323" s="3"/>
      <c r="AI323" s="3"/>
    </row>
    <row r="324" spans="34:35" ht="13">
      <c r="AH324" s="3"/>
      <c r="AI324" s="3"/>
    </row>
    <row r="325" spans="34:35" ht="13">
      <c r="AH325" s="3"/>
      <c r="AI325" s="3"/>
    </row>
    <row r="326" spans="34:35" ht="13">
      <c r="AH326" s="3"/>
      <c r="AI326" s="3"/>
    </row>
    <row r="327" spans="34:35" ht="13">
      <c r="AH327" s="3"/>
      <c r="AI327" s="3"/>
    </row>
    <row r="328" spans="34:35" ht="13">
      <c r="AH328" s="3"/>
      <c r="AI328" s="3"/>
    </row>
    <row r="329" spans="34:35" ht="13">
      <c r="AH329" s="3"/>
      <c r="AI329" s="3"/>
    </row>
    <row r="330" spans="34:35" ht="13">
      <c r="AH330" s="3"/>
      <c r="AI330" s="3"/>
    </row>
    <row r="331" spans="34:35" ht="13">
      <c r="AH331" s="3"/>
      <c r="AI331" s="3"/>
    </row>
    <row r="332" spans="34:35" ht="13">
      <c r="AH332" s="3"/>
      <c r="AI332" s="3"/>
    </row>
    <row r="333" spans="34:35" ht="13">
      <c r="AH333" s="3"/>
      <c r="AI333" s="3"/>
    </row>
    <row r="334" spans="34:35" ht="13">
      <c r="AH334" s="3"/>
      <c r="AI334" s="3"/>
    </row>
    <row r="335" spans="34:35" ht="13">
      <c r="AH335" s="3"/>
      <c r="AI335" s="3"/>
    </row>
    <row r="336" spans="34:35" ht="13">
      <c r="AH336" s="3"/>
      <c r="AI336" s="3"/>
    </row>
    <row r="337" spans="34:35" ht="13">
      <c r="AH337" s="3"/>
      <c r="AI337" s="3"/>
    </row>
    <row r="338" spans="34:35" ht="13">
      <c r="AH338" s="3"/>
      <c r="AI338" s="3"/>
    </row>
    <row r="339" spans="34:35" ht="13">
      <c r="AH339" s="3"/>
      <c r="AI339" s="3"/>
    </row>
    <row r="340" spans="34:35" ht="13">
      <c r="AH340" s="3"/>
      <c r="AI340" s="3"/>
    </row>
    <row r="341" spans="34:35" ht="13">
      <c r="AH341" s="3"/>
      <c r="AI341" s="3"/>
    </row>
    <row r="342" spans="34:35" ht="13">
      <c r="AH342" s="3"/>
      <c r="AI342" s="3"/>
    </row>
    <row r="343" spans="34:35" ht="13">
      <c r="AH343" s="3"/>
      <c r="AI343" s="3"/>
    </row>
    <row r="344" spans="34:35" ht="13">
      <c r="AH344" s="3"/>
      <c r="AI344" s="3"/>
    </row>
    <row r="345" spans="34:35" ht="13">
      <c r="AH345" s="3"/>
      <c r="AI345" s="3"/>
    </row>
    <row r="346" spans="34:35" ht="13">
      <c r="AH346" s="3"/>
      <c r="AI346" s="3"/>
    </row>
    <row r="347" spans="34:35" ht="13">
      <c r="AH347" s="3"/>
      <c r="AI347" s="3"/>
    </row>
    <row r="348" spans="34:35" ht="13">
      <c r="AH348" s="3"/>
      <c r="AI348" s="3"/>
    </row>
    <row r="349" spans="34:35" ht="13">
      <c r="AH349" s="3"/>
      <c r="AI349" s="3"/>
    </row>
    <row r="350" spans="34:35" ht="13">
      <c r="AH350" s="3"/>
      <c r="AI350" s="3"/>
    </row>
    <row r="351" spans="34:35" ht="13">
      <c r="AH351" s="3"/>
      <c r="AI351" s="3"/>
    </row>
    <row r="352" spans="34:35" ht="13">
      <c r="AH352" s="3"/>
      <c r="AI352" s="3"/>
    </row>
    <row r="353" spans="34:35" ht="13">
      <c r="AH353" s="3"/>
      <c r="AI353" s="3"/>
    </row>
    <row r="354" spans="34:35" ht="13">
      <c r="AH354" s="3"/>
      <c r="AI354" s="3"/>
    </row>
    <row r="355" spans="34:35" ht="13">
      <c r="AH355" s="3"/>
      <c r="AI355" s="3"/>
    </row>
    <row r="356" spans="34:35" ht="13">
      <c r="AH356" s="3"/>
      <c r="AI356" s="3"/>
    </row>
    <row r="357" spans="34:35" ht="13">
      <c r="AH357" s="3"/>
      <c r="AI357" s="3"/>
    </row>
    <row r="358" spans="34:35" ht="13">
      <c r="AH358" s="3"/>
      <c r="AI358" s="3"/>
    </row>
    <row r="359" spans="34:35" ht="13">
      <c r="AH359" s="3"/>
      <c r="AI359" s="3"/>
    </row>
    <row r="360" spans="34:35" ht="13">
      <c r="AH360" s="3"/>
      <c r="AI360" s="3"/>
    </row>
    <row r="361" spans="34:35" ht="13">
      <c r="AH361" s="3"/>
      <c r="AI361" s="3"/>
    </row>
    <row r="362" spans="34:35" ht="13">
      <c r="AH362" s="3"/>
      <c r="AI362" s="3"/>
    </row>
    <row r="363" spans="34:35" ht="13">
      <c r="AH363" s="3"/>
      <c r="AI363" s="3"/>
    </row>
    <row r="364" spans="34:35" ht="13">
      <c r="AH364" s="3"/>
      <c r="AI364" s="3"/>
    </row>
    <row r="365" spans="34:35" ht="13">
      <c r="AH365" s="3"/>
      <c r="AI365" s="3"/>
    </row>
    <row r="366" spans="34:35" ht="13">
      <c r="AH366" s="3"/>
      <c r="AI366" s="3"/>
    </row>
    <row r="367" spans="34:35" ht="13">
      <c r="AH367" s="3"/>
      <c r="AI367" s="3"/>
    </row>
    <row r="368" spans="34:35" ht="13">
      <c r="AH368" s="3"/>
      <c r="AI368" s="3"/>
    </row>
    <row r="369" spans="34:35" ht="13">
      <c r="AH369" s="3"/>
      <c r="AI369" s="3"/>
    </row>
    <row r="370" spans="34:35" ht="13">
      <c r="AH370" s="3"/>
      <c r="AI370" s="3"/>
    </row>
    <row r="371" spans="34:35" ht="13">
      <c r="AH371" s="3"/>
      <c r="AI371" s="3"/>
    </row>
    <row r="372" spans="34:35" ht="13">
      <c r="AH372" s="3"/>
      <c r="AI372" s="3"/>
    </row>
    <row r="373" spans="34:35" ht="13">
      <c r="AH373" s="3"/>
      <c r="AI373" s="3"/>
    </row>
    <row r="374" spans="34:35" ht="13">
      <c r="AH374" s="3"/>
      <c r="AI374" s="3"/>
    </row>
    <row r="375" spans="34:35" ht="13">
      <c r="AH375" s="3"/>
      <c r="AI375" s="3"/>
    </row>
    <row r="376" spans="34:35" ht="13">
      <c r="AH376" s="3"/>
      <c r="AI376" s="3"/>
    </row>
    <row r="377" spans="34:35" ht="13">
      <c r="AH377" s="3"/>
      <c r="AI377" s="3"/>
    </row>
    <row r="378" spans="34:35" ht="13">
      <c r="AH378" s="3"/>
      <c r="AI378" s="3"/>
    </row>
    <row r="379" spans="34:35" ht="13">
      <c r="AH379" s="3"/>
      <c r="AI379" s="3"/>
    </row>
    <row r="380" spans="34:35" ht="13">
      <c r="AH380" s="3"/>
      <c r="AI380" s="3"/>
    </row>
    <row r="381" spans="34:35" ht="13">
      <c r="AH381" s="3"/>
      <c r="AI381" s="3"/>
    </row>
    <row r="382" spans="34:35" ht="13">
      <c r="AH382" s="3"/>
      <c r="AI382" s="3"/>
    </row>
    <row r="383" spans="34:35" ht="13">
      <c r="AH383" s="3"/>
      <c r="AI383" s="3"/>
    </row>
    <row r="384" spans="34:35" ht="13">
      <c r="AH384" s="3"/>
      <c r="AI384" s="3"/>
    </row>
    <row r="385" spans="34:35" ht="13">
      <c r="AH385" s="3"/>
      <c r="AI385" s="3"/>
    </row>
    <row r="386" spans="34:35" ht="13">
      <c r="AH386" s="3"/>
      <c r="AI386" s="3"/>
    </row>
    <row r="387" spans="34:35" ht="13">
      <c r="AH387" s="3"/>
      <c r="AI387" s="3"/>
    </row>
    <row r="388" spans="34:35" ht="13">
      <c r="AH388" s="3"/>
      <c r="AI388" s="3"/>
    </row>
    <row r="389" spans="34:35" ht="13">
      <c r="AH389" s="3"/>
      <c r="AI389" s="3"/>
    </row>
    <row r="390" spans="34:35" ht="13">
      <c r="AH390" s="3"/>
      <c r="AI390" s="3"/>
    </row>
    <row r="391" spans="34:35" ht="13">
      <c r="AH391" s="3"/>
      <c r="AI391" s="3"/>
    </row>
    <row r="392" spans="34:35" ht="13">
      <c r="AH392" s="3"/>
      <c r="AI392" s="3"/>
    </row>
    <row r="393" spans="34:35" ht="13">
      <c r="AH393" s="3"/>
      <c r="AI393" s="3"/>
    </row>
    <row r="394" spans="34:35" ht="13">
      <c r="AH394" s="3"/>
      <c r="AI394" s="3"/>
    </row>
    <row r="395" spans="34:35" ht="13">
      <c r="AH395" s="3"/>
      <c r="AI395" s="3"/>
    </row>
    <row r="396" spans="34:35" ht="13">
      <c r="AH396" s="3"/>
      <c r="AI396" s="3"/>
    </row>
    <row r="397" spans="34:35" ht="13">
      <c r="AH397" s="3"/>
      <c r="AI397" s="3"/>
    </row>
    <row r="398" spans="34:35" ht="13">
      <c r="AH398" s="3"/>
      <c r="AI398" s="3"/>
    </row>
    <row r="399" spans="34:35" ht="13">
      <c r="AH399" s="3"/>
      <c r="AI399" s="3"/>
    </row>
    <row r="400" spans="34:35" ht="13">
      <c r="AH400" s="3"/>
      <c r="AI400" s="3"/>
    </row>
    <row r="401" spans="34:35" ht="13">
      <c r="AH401" s="3"/>
      <c r="AI401" s="3"/>
    </row>
    <row r="402" spans="34:35" ht="13">
      <c r="AH402" s="3"/>
      <c r="AI402" s="3"/>
    </row>
    <row r="403" spans="34:35" ht="13">
      <c r="AH403" s="3"/>
      <c r="AI403" s="3"/>
    </row>
    <row r="404" spans="34:35" ht="13">
      <c r="AH404" s="3"/>
      <c r="AI404" s="3"/>
    </row>
    <row r="405" spans="34:35" ht="13">
      <c r="AH405" s="3"/>
      <c r="AI405" s="3"/>
    </row>
    <row r="406" spans="34:35" ht="13">
      <c r="AH406" s="3"/>
      <c r="AI406" s="3"/>
    </row>
    <row r="407" spans="34:35" ht="13">
      <c r="AH407" s="3"/>
      <c r="AI407" s="3"/>
    </row>
    <row r="408" spans="34:35" ht="13">
      <c r="AH408" s="3"/>
      <c r="AI408" s="3"/>
    </row>
    <row r="409" spans="34:35" ht="13">
      <c r="AH409" s="3"/>
      <c r="AI409" s="3"/>
    </row>
    <row r="410" spans="34:35" ht="13">
      <c r="AH410" s="3"/>
      <c r="AI410" s="3"/>
    </row>
    <row r="411" spans="34:35" ht="13">
      <c r="AH411" s="3"/>
      <c r="AI411" s="3"/>
    </row>
    <row r="412" spans="34:35" ht="13">
      <c r="AH412" s="3"/>
      <c r="AI412" s="3"/>
    </row>
    <row r="413" spans="34:35" ht="13">
      <c r="AH413" s="3"/>
      <c r="AI413" s="3"/>
    </row>
    <row r="414" spans="34:35" ht="13">
      <c r="AH414" s="3"/>
      <c r="AI414" s="3"/>
    </row>
    <row r="415" spans="34:35" ht="13">
      <c r="AH415" s="3"/>
      <c r="AI415" s="3"/>
    </row>
    <row r="416" spans="34:35" ht="13">
      <c r="AH416" s="3"/>
      <c r="AI416" s="3"/>
    </row>
    <row r="417" spans="34:35" ht="13">
      <c r="AH417" s="3"/>
      <c r="AI417" s="3"/>
    </row>
    <row r="418" spans="34:35" ht="13">
      <c r="AH418" s="3"/>
      <c r="AI418" s="3"/>
    </row>
    <row r="419" spans="34:35" ht="13">
      <c r="AH419" s="3"/>
      <c r="AI419" s="3"/>
    </row>
    <row r="420" spans="34:35" ht="13">
      <c r="AH420" s="3"/>
      <c r="AI420" s="3"/>
    </row>
    <row r="421" spans="34:35" ht="13">
      <c r="AH421" s="3"/>
      <c r="AI421" s="3"/>
    </row>
    <row r="422" spans="34:35" ht="13">
      <c r="AH422" s="3"/>
      <c r="AI422" s="3"/>
    </row>
    <row r="423" spans="34:35" ht="13">
      <c r="AH423" s="3"/>
      <c r="AI423" s="3"/>
    </row>
    <row r="424" spans="34:35" ht="13">
      <c r="AH424" s="3"/>
      <c r="AI424" s="3"/>
    </row>
    <row r="425" spans="34:35" ht="13">
      <c r="AH425" s="3"/>
      <c r="AI425" s="3"/>
    </row>
    <row r="426" spans="34:35" ht="13">
      <c r="AH426" s="3"/>
      <c r="AI426" s="3"/>
    </row>
    <row r="427" spans="34:35" ht="13">
      <c r="AH427" s="3"/>
      <c r="AI427" s="3"/>
    </row>
    <row r="428" spans="34:35" ht="13">
      <c r="AH428" s="3"/>
      <c r="AI428" s="3"/>
    </row>
    <row r="429" spans="34:35" ht="13">
      <c r="AH429" s="3"/>
      <c r="AI429" s="3"/>
    </row>
    <row r="430" spans="34:35" ht="13">
      <c r="AH430" s="3"/>
      <c r="AI430" s="3"/>
    </row>
    <row r="431" spans="34:35" ht="13">
      <c r="AH431" s="3"/>
      <c r="AI431" s="3"/>
    </row>
    <row r="432" spans="34:35" ht="13">
      <c r="AH432" s="3"/>
      <c r="AI432" s="3"/>
    </row>
    <row r="433" spans="34:35" ht="13">
      <c r="AH433" s="3"/>
      <c r="AI433" s="3"/>
    </row>
    <row r="434" spans="34:35" ht="13">
      <c r="AH434" s="3"/>
      <c r="AI434" s="3"/>
    </row>
    <row r="435" spans="34:35" ht="13">
      <c r="AH435" s="3"/>
      <c r="AI435" s="3"/>
    </row>
    <row r="436" spans="34:35" ht="13">
      <c r="AH436" s="3"/>
      <c r="AI436" s="3"/>
    </row>
    <row r="437" spans="34:35" ht="13">
      <c r="AH437" s="3"/>
      <c r="AI437" s="3"/>
    </row>
    <row r="438" spans="34:35" ht="13">
      <c r="AH438" s="3"/>
      <c r="AI438" s="3"/>
    </row>
    <row r="439" spans="34:35" ht="13">
      <c r="AH439" s="3"/>
      <c r="AI439" s="3"/>
    </row>
    <row r="440" spans="34:35" ht="13">
      <c r="AH440" s="3"/>
      <c r="AI440" s="3"/>
    </row>
    <row r="441" spans="34:35" ht="13">
      <c r="AH441" s="3"/>
      <c r="AI441" s="3"/>
    </row>
    <row r="442" spans="34:35" ht="13">
      <c r="AH442" s="3"/>
      <c r="AI442" s="3"/>
    </row>
    <row r="443" spans="34:35" ht="13">
      <c r="AH443" s="3"/>
      <c r="AI443" s="3"/>
    </row>
    <row r="444" spans="34:35" ht="13">
      <c r="AH444" s="3"/>
      <c r="AI444" s="3"/>
    </row>
    <row r="445" spans="34:35" ht="13">
      <c r="AH445" s="3"/>
      <c r="AI445" s="3"/>
    </row>
    <row r="446" spans="34:35" ht="13">
      <c r="AH446" s="3"/>
      <c r="AI446" s="3"/>
    </row>
    <row r="447" spans="34:35" ht="13">
      <c r="AH447" s="3"/>
      <c r="AI447" s="3"/>
    </row>
    <row r="448" spans="34:35" ht="13">
      <c r="AH448" s="3"/>
      <c r="AI448" s="3"/>
    </row>
    <row r="449" spans="34:35" ht="13">
      <c r="AH449" s="3"/>
      <c r="AI449" s="3"/>
    </row>
    <row r="450" spans="34:35" ht="13">
      <c r="AH450" s="3"/>
      <c r="AI450" s="3"/>
    </row>
    <row r="451" spans="34:35" ht="13">
      <c r="AH451" s="3"/>
      <c r="AI451" s="3"/>
    </row>
    <row r="452" spans="34:35" ht="13">
      <c r="AH452" s="3"/>
      <c r="AI452" s="3"/>
    </row>
    <row r="453" spans="34:35" ht="13">
      <c r="AH453" s="3"/>
      <c r="AI453" s="3"/>
    </row>
    <row r="454" spans="34:35" ht="13">
      <c r="AH454" s="3"/>
      <c r="AI454" s="3"/>
    </row>
    <row r="455" spans="34:35" ht="13">
      <c r="AH455" s="3"/>
      <c r="AI455" s="3"/>
    </row>
    <row r="456" spans="34:35" ht="13">
      <c r="AH456" s="3"/>
      <c r="AI456" s="3"/>
    </row>
    <row r="457" spans="34:35" ht="13">
      <c r="AH457" s="3"/>
      <c r="AI457" s="3"/>
    </row>
    <row r="458" spans="34:35" ht="13">
      <c r="AH458" s="3"/>
      <c r="AI458" s="3"/>
    </row>
    <row r="459" spans="34:35" ht="13">
      <c r="AH459" s="3"/>
      <c r="AI459" s="3"/>
    </row>
    <row r="460" spans="34:35" ht="13">
      <c r="AH460" s="3"/>
      <c r="AI460" s="3"/>
    </row>
    <row r="461" spans="34:35" ht="13">
      <c r="AH461" s="3"/>
      <c r="AI461" s="3"/>
    </row>
    <row r="462" spans="34:35" ht="13">
      <c r="AH462" s="3"/>
      <c r="AI462" s="3"/>
    </row>
    <row r="463" spans="34:35" ht="13">
      <c r="AH463" s="3"/>
      <c r="AI463" s="3"/>
    </row>
    <row r="464" spans="34:35" ht="13">
      <c r="AH464" s="3"/>
      <c r="AI464" s="3"/>
    </row>
    <row r="465" spans="34:35" ht="13">
      <c r="AH465" s="3"/>
      <c r="AI465" s="3"/>
    </row>
    <row r="466" spans="34:35" ht="13">
      <c r="AH466" s="3"/>
      <c r="AI466" s="3"/>
    </row>
    <row r="467" spans="34:35" ht="13">
      <c r="AH467" s="3"/>
      <c r="AI467" s="3"/>
    </row>
    <row r="468" spans="34:35" ht="13">
      <c r="AH468" s="3"/>
      <c r="AI468" s="3"/>
    </row>
    <row r="469" spans="34:35" ht="13">
      <c r="AH469" s="3"/>
      <c r="AI469" s="3"/>
    </row>
    <row r="470" spans="34:35" ht="13">
      <c r="AH470" s="3"/>
      <c r="AI470" s="3"/>
    </row>
    <row r="471" spans="34:35" ht="13">
      <c r="AH471" s="3"/>
      <c r="AI471" s="3"/>
    </row>
    <row r="472" spans="34:35" ht="13">
      <c r="AH472" s="3"/>
      <c r="AI472" s="3"/>
    </row>
    <row r="473" spans="34:35" ht="13">
      <c r="AH473" s="3"/>
      <c r="AI473" s="3"/>
    </row>
    <row r="474" spans="34:35" ht="13">
      <c r="AH474" s="3"/>
      <c r="AI474" s="3"/>
    </row>
    <row r="475" spans="34:35" ht="13">
      <c r="AH475" s="3"/>
      <c r="AI475" s="3"/>
    </row>
    <row r="476" spans="34:35" ht="13">
      <c r="AH476" s="3"/>
      <c r="AI476" s="3"/>
    </row>
    <row r="477" spans="34:35" ht="13">
      <c r="AH477" s="3"/>
      <c r="AI477" s="3"/>
    </row>
    <row r="478" spans="34:35" ht="13">
      <c r="AH478" s="3"/>
      <c r="AI478" s="3"/>
    </row>
    <row r="479" spans="34:35" ht="13">
      <c r="AH479" s="3"/>
      <c r="AI479" s="3"/>
    </row>
    <row r="480" spans="34:35" ht="13">
      <c r="AH480" s="3"/>
      <c r="AI480" s="3"/>
    </row>
    <row r="481" spans="34:35" ht="13">
      <c r="AH481" s="3"/>
      <c r="AI481" s="3"/>
    </row>
    <row r="482" spans="34:35" ht="13">
      <c r="AH482" s="3"/>
      <c r="AI482" s="3"/>
    </row>
    <row r="483" spans="34:35" ht="13">
      <c r="AH483" s="3"/>
      <c r="AI483" s="3"/>
    </row>
    <row r="484" spans="34:35" ht="13">
      <c r="AH484" s="3"/>
      <c r="AI484" s="3"/>
    </row>
    <row r="485" spans="34:35" ht="13">
      <c r="AH485" s="3"/>
      <c r="AI485" s="3"/>
    </row>
    <row r="486" spans="34:35" ht="13">
      <c r="AH486" s="3"/>
      <c r="AI486" s="3"/>
    </row>
    <row r="487" spans="34:35" ht="13">
      <c r="AH487" s="3"/>
      <c r="AI487" s="3"/>
    </row>
    <row r="488" spans="34:35" ht="13">
      <c r="AH488" s="3"/>
      <c r="AI488" s="3"/>
    </row>
    <row r="489" spans="34:35" ht="13">
      <c r="AH489" s="3"/>
      <c r="AI489" s="3"/>
    </row>
    <row r="490" spans="34:35" ht="13">
      <c r="AH490" s="3"/>
      <c r="AI490" s="3"/>
    </row>
    <row r="491" spans="34:35" ht="13">
      <c r="AH491" s="3"/>
      <c r="AI491" s="3"/>
    </row>
    <row r="492" spans="34:35" ht="13">
      <c r="AH492" s="3"/>
      <c r="AI492" s="3"/>
    </row>
    <row r="493" spans="34:35" ht="13">
      <c r="AH493" s="3"/>
      <c r="AI493" s="3"/>
    </row>
    <row r="494" spans="34:35" ht="13">
      <c r="AH494" s="3"/>
      <c r="AI494" s="3"/>
    </row>
    <row r="495" spans="34:35" ht="13">
      <c r="AH495" s="3"/>
      <c r="AI495" s="3"/>
    </row>
    <row r="496" spans="34:35" ht="13">
      <c r="AH496" s="3"/>
      <c r="AI496" s="3"/>
    </row>
    <row r="497" spans="34:35" ht="13">
      <c r="AH497" s="3"/>
      <c r="AI497" s="3"/>
    </row>
    <row r="498" spans="34:35" ht="13">
      <c r="AH498" s="3"/>
      <c r="AI498" s="3"/>
    </row>
    <row r="499" spans="34:35" ht="13">
      <c r="AH499" s="3"/>
      <c r="AI499" s="3"/>
    </row>
    <row r="500" spans="34:35" ht="13">
      <c r="AH500" s="3"/>
      <c r="AI500" s="3"/>
    </row>
    <row r="501" spans="34:35" ht="13">
      <c r="AH501" s="3"/>
      <c r="AI501" s="3"/>
    </row>
    <row r="502" spans="34:35" ht="13">
      <c r="AH502" s="3"/>
      <c r="AI502" s="3"/>
    </row>
    <row r="503" spans="34:35" ht="13">
      <c r="AH503" s="3"/>
      <c r="AI503" s="3"/>
    </row>
    <row r="504" spans="34:35" ht="13">
      <c r="AH504" s="3"/>
      <c r="AI504" s="3"/>
    </row>
    <row r="505" spans="34:35" ht="13">
      <c r="AH505" s="3"/>
      <c r="AI505" s="3"/>
    </row>
    <row r="506" spans="34:35" ht="13">
      <c r="AH506" s="3"/>
      <c r="AI506" s="3"/>
    </row>
    <row r="507" spans="34:35" ht="13">
      <c r="AH507" s="3"/>
      <c r="AI507" s="3"/>
    </row>
    <row r="508" spans="34:35" ht="13">
      <c r="AH508" s="3"/>
      <c r="AI508" s="3"/>
    </row>
    <row r="509" spans="34:35" ht="13">
      <c r="AH509" s="3"/>
      <c r="AI509" s="3"/>
    </row>
    <row r="510" spans="34:35" ht="13">
      <c r="AH510" s="3"/>
      <c r="AI510" s="3"/>
    </row>
    <row r="511" spans="34:35" ht="13">
      <c r="AH511" s="3"/>
      <c r="AI511" s="3"/>
    </row>
    <row r="512" spans="34:35" ht="13">
      <c r="AH512" s="3"/>
      <c r="AI512" s="3"/>
    </row>
    <row r="513" spans="34:35" ht="13">
      <c r="AH513" s="3"/>
      <c r="AI513" s="3"/>
    </row>
    <row r="514" spans="34:35" ht="13">
      <c r="AH514" s="3"/>
      <c r="AI514" s="3"/>
    </row>
    <row r="515" spans="34:35" ht="13">
      <c r="AH515" s="3"/>
      <c r="AI515" s="3"/>
    </row>
    <row r="516" spans="34:35" ht="13">
      <c r="AH516" s="3"/>
      <c r="AI516" s="3"/>
    </row>
    <row r="517" spans="34:35" ht="13">
      <c r="AH517" s="3"/>
      <c r="AI517" s="3"/>
    </row>
    <row r="518" spans="34:35" ht="13">
      <c r="AH518" s="3"/>
      <c r="AI518" s="3"/>
    </row>
    <row r="519" spans="34:35" ht="13">
      <c r="AH519" s="3"/>
      <c r="AI519" s="3"/>
    </row>
    <row r="520" spans="34:35" ht="13">
      <c r="AH520" s="3"/>
      <c r="AI520" s="3"/>
    </row>
    <row r="521" spans="34:35" ht="13">
      <c r="AH521" s="3"/>
      <c r="AI521" s="3"/>
    </row>
    <row r="522" spans="34:35" ht="13">
      <c r="AH522" s="3"/>
      <c r="AI522" s="3"/>
    </row>
    <row r="523" spans="34:35" ht="13">
      <c r="AH523" s="3"/>
      <c r="AI523" s="3"/>
    </row>
    <row r="524" spans="34:35" ht="13">
      <c r="AH524" s="3"/>
      <c r="AI524" s="3"/>
    </row>
    <row r="525" spans="34:35" ht="13">
      <c r="AH525" s="3"/>
      <c r="AI525" s="3"/>
    </row>
    <row r="526" spans="34:35" ht="13">
      <c r="AH526" s="3"/>
      <c r="AI526" s="3"/>
    </row>
    <row r="527" spans="34:35" ht="13">
      <c r="AH527" s="3"/>
      <c r="AI527" s="3"/>
    </row>
    <row r="528" spans="34:35" ht="13">
      <c r="AH528" s="3"/>
      <c r="AI528" s="3"/>
    </row>
    <row r="529" spans="34:35" ht="13">
      <c r="AH529" s="3"/>
      <c r="AI529" s="3"/>
    </row>
    <row r="530" spans="34:35" ht="13">
      <c r="AH530" s="3"/>
      <c r="AI530" s="3"/>
    </row>
    <row r="531" spans="34:35" ht="13">
      <c r="AH531" s="3"/>
      <c r="AI531" s="3"/>
    </row>
    <row r="532" spans="34:35" ht="13">
      <c r="AH532" s="3"/>
      <c r="AI532" s="3"/>
    </row>
    <row r="533" spans="34:35" ht="13">
      <c r="AH533" s="3"/>
      <c r="AI533" s="3"/>
    </row>
    <row r="534" spans="34:35" ht="13">
      <c r="AH534" s="3"/>
      <c r="AI534" s="3"/>
    </row>
    <row r="535" spans="34:35" ht="13">
      <c r="AH535" s="3"/>
      <c r="AI535" s="3"/>
    </row>
    <row r="536" spans="34:35" ht="13">
      <c r="AH536" s="3"/>
      <c r="AI536" s="3"/>
    </row>
    <row r="537" spans="34:35" ht="13">
      <c r="AH537" s="3"/>
      <c r="AI537" s="3"/>
    </row>
    <row r="538" spans="34:35" ht="13">
      <c r="AH538" s="3"/>
      <c r="AI538" s="3"/>
    </row>
    <row r="539" spans="34:35" ht="13">
      <c r="AH539" s="3"/>
      <c r="AI539" s="3"/>
    </row>
    <row r="540" spans="34:35" ht="13">
      <c r="AH540" s="3"/>
      <c r="AI540" s="3"/>
    </row>
    <row r="541" spans="34:35" ht="13">
      <c r="AH541" s="3"/>
      <c r="AI541" s="3"/>
    </row>
    <row r="542" spans="34:35" ht="13">
      <c r="AH542" s="3"/>
      <c r="AI542" s="3"/>
    </row>
    <row r="543" spans="34:35" ht="13">
      <c r="AH543" s="3"/>
      <c r="AI543" s="3"/>
    </row>
    <row r="544" spans="34:35" ht="13">
      <c r="AH544" s="3"/>
      <c r="AI544" s="3"/>
    </row>
    <row r="545" spans="34:35" ht="13">
      <c r="AH545" s="3"/>
      <c r="AI545" s="3"/>
    </row>
    <row r="546" spans="34:35" ht="13">
      <c r="AH546" s="3"/>
      <c r="AI546" s="3"/>
    </row>
    <row r="547" spans="34:35" ht="13">
      <c r="AH547" s="3"/>
      <c r="AI547" s="3"/>
    </row>
    <row r="548" spans="34:35" ht="13">
      <c r="AH548" s="3"/>
      <c r="AI548" s="3"/>
    </row>
    <row r="549" spans="34:35" ht="13">
      <c r="AH549" s="3"/>
      <c r="AI549" s="3"/>
    </row>
    <row r="550" spans="34:35" ht="13">
      <c r="AH550" s="3"/>
      <c r="AI550" s="3"/>
    </row>
    <row r="551" spans="34:35" ht="13">
      <c r="AH551" s="3"/>
      <c r="AI551" s="3"/>
    </row>
    <row r="552" spans="34:35" ht="13">
      <c r="AH552" s="3"/>
      <c r="AI552" s="3"/>
    </row>
    <row r="553" spans="34:35" ht="13">
      <c r="AH553" s="3"/>
      <c r="AI553" s="3"/>
    </row>
    <row r="554" spans="34:35" ht="13">
      <c r="AH554" s="3"/>
      <c r="AI554" s="3"/>
    </row>
    <row r="555" spans="34:35" ht="13">
      <c r="AH555" s="3"/>
      <c r="AI555" s="3"/>
    </row>
    <row r="556" spans="34:35" ht="13">
      <c r="AH556" s="3"/>
      <c r="AI556" s="3"/>
    </row>
    <row r="557" spans="34:35" ht="13">
      <c r="AH557" s="3"/>
      <c r="AI557" s="3"/>
    </row>
    <row r="558" spans="34:35" ht="13">
      <c r="AH558" s="3"/>
      <c r="AI558" s="3"/>
    </row>
    <row r="559" spans="34:35" ht="13">
      <c r="AH559" s="3"/>
      <c r="AI559" s="3"/>
    </row>
    <row r="560" spans="34:35" ht="13">
      <c r="AH560" s="3"/>
      <c r="AI560" s="3"/>
    </row>
    <row r="561" spans="34:35" ht="13">
      <c r="AH561" s="3"/>
      <c r="AI561" s="3"/>
    </row>
    <row r="562" spans="34:35" ht="13">
      <c r="AH562" s="3"/>
      <c r="AI562" s="3"/>
    </row>
    <row r="563" spans="34:35" ht="13">
      <c r="AH563" s="3"/>
      <c r="AI563" s="3"/>
    </row>
    <row r="564" spans="34:35" ht="13">
      <c r="AH564" s="3"/>
      <c r="AI564" s="3"/>
    </row>
    <row r="565" spans="34:35" ht="13">
      <c r="AH565" s="3"/>
      <c r="AI565" s="3"/>
    </row>
    <row r="566" spans="34:35" ht="13">
      <c r="AH566" s="3"/>
      <c r="AI566" s="3"/>
    </row>
    <row r="567" spans="34:35" ht="13">
      <c r="AH567" s="3"/>
      <c r="AI567" s="3"/>
    </row>
    <row r="568" spans="34:35" ht="13">
      <c r="AH568" s="3"/>
      <c r="AI568" s="3"/>
    </row>
    <row r="569" spans="34:35" ht="13">
      <c r="AH569" s="3"/>
      <c r="AI569" s="3"/>
    </row>
    <row r="570" spans="34:35" ht="13">
      <c r="AH570" s="3"/>
      <c r="AI570" s="3"/>
    </row>
    <row r="571" spans="34:35" ht="13">
      <c r="AH571" s="3"/>
      <c r="AI571" s="3"/>
    </row>
    <row r="572" spans="34:35" ht="13">
      <c r="AH572" s="3"/>
      <c r="AI572" s="3"/>
    </row>
    <row r="573" spans="34:35" ht="13">
      <c r="AH573" s="3"/>
      <c r="AI573" s="3"/>
    </row>
    <row r="574" spans="34:35" ht="13">
      <c r="AH574" s="3"/>
      <c r="AI574" s="3"/>
    </row>
    <row r="575" spans="34:35" ht="13">
      <c r="AH575" s="3"/>
      <c r="AI575" s="3"/>
    </row>
    <row r="576" spans="34:35" ht="13">
      <c r="AH576" s="3"/>
      <c r="AI576" s="3"/>
    </row>
    <row r="577" spans="34:35" ht="13">
      <c r="AH577" s="3"/>
      <c r="AI577" s="3"/>
    </row>
    <row r="578" spans="34:35" ht="13">
      <c r="AH578" s="3"/>
      <c r="AI578" s="3"/>
    </row>
    <row r="579" spans="34:35" ht="13">
      <c r="AH579" s="3"/>
      <c r="AI579" s="3"/>
    </row>
    <row r="580" spans="34:35" ht="13">
      <c r="AH580" s="3"/>
      <c r="AI580" s="3"/>
    </row>
    <row r="581" spans="34:35" ht="13">
      <c r="AH581" s="3"/>
      <c r="AI581" s="3"/>
    </row>
    <row r="582" spans="34:35" ht="13">
      <c r="AH582" s="3"/>
      <c r="AI582" s="3"/>
    </row>
    <row r="583" spans="34:35" ht="13">
      <c r="AH583" s="3"/>
      <c r="AI583" s="3"/>
    </row>
    <row r="584" spans="34:35" ht="13">
      <c r="AH584" s="3"/>
      <c r="AI584" s="3"/>
    </row>
    <row r="585" spans="34:35" ht="13">
      <c r="AH585" s="3"/>
      <c r="AI585" s="3"/>
    </row>
    <row r="586" spans="34:35" ht="13">
      <c r="AH586" s="3"/>
      <c r="AI586" s="3"/>
    </row>
    <row r="587" spans="34:35" ht="13">
      <c r="AH587" s="3"/>
      <c r="AI587" s="3"/>
    </row>
    <row r="588" spans="34:35" ht="13">
      <c r="AH588" s="3"/>
      <c r="AI588" s="3"/>
    </row>
    <row r="589" spans="34:35" ht="13">
      <c r="AH589" s="3"/>
      <c r="AI589" s="3"/>
    </row>
    <row r="590" spans="34:35" ht="13">
      <c r="AH590" s="3"/>
      <c r="AI590" s="3"/>
    </row>
    <row r="591" spans="34:35" ht="13">
      <c r="AH591" s="3"/>
      <c r="AI591" s="3"/>
    </row>
    <row r="592" spans="34:35" ht="13">
      <c r="AH592" s="3"/>
      <c r="AI592" s="3"/>
    </row>
    <row r="593" spans="34:35" ht="13">
      <c r="AH593" s="3"/>
      <c r="AI593" s="3"/>
    </row>
    <row r="594" spans="34:35" ht="13">
      <c r="AH594" s="3"/>
      <c r="AI594" s="3"/>
    </row>
    <row r="595" spans="34:35" ht="13">
      <c r="AH595" s="3"/>
      <c r="AI595" s="3"/>
    </row>
    <row r="596" spans="34:35" ht="13">
      <c r="AH596" s="3"/>
      <c r="AI596" s="3"/>
    </row>
    <row r="597" spans="34:35" ht="13">
      <c r="AH597" s="3"/>
      <c r="AI597" s="3"/>
    </row>
    <row r="598" spans="34:35" ht="13">
      <c r="AH598" s="3"/>
      <c r="AI598" s="3"/>
    </row>
    <row r="599" spans="34:35" ht="13">
      <c r="AH599" s="3"/>
      <c r="AI599" s="3"/>
    </row>
    <row r="600" spans="34:35" ht="13">
      <c r="AH600" s="3"/>
      <c r="AI600" s="3"/>
    </row>
    <row r="601" spans="34:35" ht="13">
      <c r="AH601" s="3"/>
      <c r="AI601" s="3"/>
    </row>
    <row r="602" spans="34:35" ht="13">
      <c r="AH602" s="3"/>
      <c r="AI602" s="3"/>
    </row>
    <row r="603" spans="34:35" ht="13">
      <c r="AH603" s="3"/>
      <c r="AI603" s="3"/>
    </row>
    <row r="604" spans="34:35" ht="13">
      <c r="AH604" s="3"/>
      <c r="AI604" s="3"/>
    </row>
    <row r="605" spans="34:35" ht="13">
      <c r="AH605" s="3"/>
      <c r="AI605" s="3"/>
    </row>
    <row r="606" spans="34:35" ht="13">
      <c r="AH606" s="3"/>
      <c r="AI606" s="3"/>
    </row>
    <row r="607" spans="34:35" ht="13">
      <c r="AH607" s="3"/>
      <c r="AI607" s="3"/>
    </row>
    <row r="608" spans="34:35" ht="13">
      <c r="AH608" s="3"/>
      <c r="AI608" s="3"/>
    </row>
    <row r="609" spans="34:35" ht="13">
      <c r="AH609" s="3"/>
      <c r="AI609" s="3"/>
    </row>
    <row r="610" spans="34:35" ht="13">
      <c r="AH610" s="3"/>
      <c r="AI610" s="3"/>
    </row>
    <row r="611" spans="34:35" ht="13">
      <c r="AH611" s="3"/>
      <c r="AI611" s="3"/>
    </row>
    <row r="612" spans="34:35" ht="13">
      <c r="AH612" s="3"/>
      <c r="AI612" s="3"/>
    </row>
    <row r="613" spans="34:35" ht="13">
      <c r="AH613" s="3"/>
      <c r="AI613" s="3"/>
    </row>
    <row r="614" spans="34:35" ht="13">
      <c r="AH614" s="3"/>
      <c r="AI614" s="3"/>
    </row>
    <row r="615" spans="34:35" ht="13">
      <c r="AH615" s="3"/>
      <c r="AI615" s="3"/>
    </row>
    <row r="616" spans="34:35" ht="13">
      <c r="AH616" s="3"/>
      <c r="AI616" s="3"/>
    </row>
    <row r="617" spans="34:35" ht="13">
      <c r="AH617" s="3"/>
      <c r="AI617" s="3"/>
    </row>
    <row r="618" spans="34:35" ht="13">
      <c r="AH618" s="3"/>
      <c r="AI618" s="3"/>
    </row>
    <row r="619" spans="34:35" ht="13">
      <c r="AH619" s="3"/>
      <c r="AI619" s="3"/>
    </row>
    <row r="620" spans="34:35" ht="13">
      <c r="AH620" s="3"/>
      <c r="AI620" s="3"/>
    </row>
    <row r="621" spans="34:35" ht="13">
      <c r="AH621" s="3"/>
      <c r="AI621" s="3"/>
    </row>
    <row r="622" spans="34:35" ht="13">
      <c r="AH622" s="3"/>
      <c r="AI622" s="3"/>
    </row>
    <row r="623" spans="34:35" ht="13">
      <c r="AH623" s="3"/>
      <c r="AI623" s="3"/>
    </row>
    <row r="624" spans="34:35" ht="13">
      <c r="AH624" s="3"/>
      <c r="AI624" s="3"/>
    </row>
    <row r="625" spans="34:35" ht="13">
      <c r="AH625" s="3"/>
      <c r="AI625" s="3"/>
    </row>
    <row r="626" spans="34:35" ht="13">
      <c r="AH626" s="3"/>
      <c r="AI626" s="3"/>
    </row>
    <row r="627" spans="34:35" ht="13">
      <c r="AH627" s="3"/>
      <c r="AI627" s="3"/>
    </row>
    <row r="628" spans="34:35" ht="13">
      <c r="AH628" s="3"/>
      <c r="AI628" s="3"/>
    </row>
    <row r="629" spans="34:35" ht="13">
      <c r="AH629" s="3"/>
      <c r="AI629" s="3"/>
    </row>
    <row r="630" spans="34:35" ht="13">
      <c r="AH630" s="3"/>
      <c r="AI630" s="3"/>
    </row>
    <row r="631" spans="34:35" ht="13">
      <c r="AH631" s="3"/>
      <c r="AI631" s="3"/>
    </row>
    <row r="632" spans="34:35" ht="13">
      <c r="AH632" s="3"/>
      <c r="AI632" s="3"/>
    </row>
    <row r="633" spans="34:35" ht="13">
      <c r="AH633" s="3"/>
      <c r="AI633" s="3"/>
    </row>
    <row r="634" spans="34:35" ht="13">
      <c r="AH634" s="3"/>
      <c r="AI634" s="3"/>
    </row>
    <row r="635" spans="34:35" ht="13">
      <c r="AH635" s="3"/>
      <c r="AI635" s="3"/>
    </row>
    <row r="636" spans="34:35" ht="13">
      <c r="AH636" s="3"/>
      <c r="AI636" s="3"/>
    </row>
    <row r="637" spans="34:35" ht="13">
      <c r="AH637" s="3"/>
      <c r="AI637" s="3"/>
    </row>
    <row r="638" spans="34:35" ht="13">
      <c r="AH638" s="3"/>
      <c r="AI638" s="3"/>
    </row>
    <row r="639" spans="34:35" ht="13">
      <c r="AH639" s="3"/>
      <c r="AI639" s="3"/>
    </row>
    <row r="640" spans="34:35" ht="13">
      <c r="AH640" s="3"/>
      <c r="AI640" s="3"/>
    </row>
    <row r="641" spans="34:35" ht="13">
      <c r="AH641" s="3"/>
      <c r="AI641" s="3"/>
    </row>
    <row r="642" spans="34:35" ht="13">
      <c r="AH642" s="3"/>
      <c r="AI642" s="3"/>
    </row>
    <row r="643" spans="34:35" ht="13">
      <c r="AH643" s="3"/>
      <c r="AI643" s="3"/>
    </row>
    <row r="644" spans="34:35" ht="13">
      <c r="AH644" s="3"/>
      <c r="AI644" s="3"/>
    </row>
    <row r="645" spans="34:35" ht="13">
      <c r="AH645" s="3"/>
      <c r="AI645" s="3"/>
    </row>
    <row r="646" spans="34:35" ht="13">
      <c r="AH646" s="3"/>
      <c r="AI646" s="3"/>
    </row>
    <row r="647" spans="34:35" ht="13">
      <c r="AH647" s="3"/>
      <c r="AI647" s="3"/>
    </row>
    <row r="648" spans="34:35" ht="13">
      <c r="AH648" s="3"/>
      <c r="AI648" s="3"/>
    </row>
    <row r="649" spans="34:35" ht="13">
      <c r="AH649" s="3"/>
      <c r="AI649" s="3"/>
    </row>
    <row r="650" spans="34:35" ht="13">
      <c r="AH650" s="3"/>
      <c r="AI650" s="3"/>
    </row>
    <row r="651" spans="34:35" ht="13">
      <c r="AH651" s="3"/>
      <c r="AI651" s="3"/>
    </row>
    <row r="652" spans="34:35" ht="13">
      <c r="AH652" s="3"/>
      <c r="AI652" s="3"/>
    </row>
    <row r="653" spans="34:35" ht="13">
      <c r="AH653" s="3"/>
      <c r="AI653" s="3"/>
    </row>
    <row r="654" spans="34:35" ht="13">
      <c r="AH654" s="3"/>
      <c r="AI654" s="3"/>
    </row>
    <row r="655" spans="34:35" ht="13">
      <c r="AH655" s="3"/>
      <c r="AI655" s="3"/>
    </row>
    <row r="656" spans="34:35" ht="13">
      <c r="AH656" s="3"/>
      <c r="AI656" s="3"/>
    </row>
    <row r="657" spans="34:35" ht="13">
      <c r="AH657" s="3"/>
      <c r="AI657" s="3"/>
    </row>
    <row r="658" spans="34:35" ht="13">
      <c r="AH658" s="3"/>
      <c r="AI658" s="3"/>
    </row>
    <row r="659" spans="34:35" ht="13">
      <c r="AH659" s="3"/>
      <c r="AI659" s="3"/>
    </row>
    <row r="660" spans="34:35" ht="13">
      <c r="AH660" s="3"/>
      <c r="AI660" s="3"/>
    </row>
    <row r="661" spans="34:35" ht="13">
      <c r="AH661" s="3"/>
      <c r="AI661" s="3"/>
    </row>
    <row r="662" spans="34:35" ht="13">
      <c r="AH662" s="3"/>
      <c r="AI662" s="3"/>
    </row>
    <row r="663" spans="34:35" ht="13">
      <c r="AH663" s="3"/>
      <c r="AI663" s="3"/>
    </row>
    <row r="664" spans="34:35" ht="13">
      <c r="AH664" s="3"/>
      <c r="AI664" s="3"/>
    </row>
    <row r="665" spans="34:35" ht="13">
      <c r="AH665" s="3"/>
      <c r="AI665" s="3"/>
    </row>
    <row r="666" spans="34:35" ht="13">
      <c r="AH666" s="3"/>
      <c r="AI666" s="3"/>
    </row>
    <row r="667" spans="34:35" ht="13">
      <c r="AH667" s="3"/>
      <c r="AI667" s="3"/>
    </row>
    <row r="668" spans="34:35" ht="13">
      <c r="AH668" s="3"/>
      <c r="AI668" s="3"/>
    </row>
    <row r="669" spans="34:35" ht="13">
      <c r="AH669" s="3"/>
      <c r="AI669" s="3"/>
    </row>
    <row r="670" spans="34:35" ht="13">
      <c r="AH670" s="3"/>
      <c r="AI670" s="3"/>
    </row>
    <row r="671" spans="34:35" ht="13">
      <c r="AH671" s="3"/>
      <c r="AI671" s="3"/>
    </row>
    <row r="672" spans="34:35" ht="13">
      <c r="AH672" s="3"/>
      <c r="AI672" s="3"/>
    </row>
    <row r="673" spans="34:35" ht="13">
      <c r="AH673" s="3"/>
      <c r="AI673" s="3"/>
    </row>
    <row r="674" spans="34:35" ht="13">
      <c r="AH674" s="3"/>
      <c r="AI674" s="3"/>
    </row>
    <row r="675" spans="34:35" ht="13">
      <c r="AH675" s="3"/>
      <c r="AI675" s="3"/>
    </row>
    <row r="676" spans="34:35" ht="13">
      <c r="AH676" s="3"/>
      <c r="AI676" s="3"/>
    </row>
    <row r="677" spans="34:35" ht="13">
      <c r="AH677" s="3"/>
      <c r="AI677" s="3"/>
    </row>
    <row r="678" spans="34:35" ht="13">
      <c r="AH678" s="3"/>
      <c r="AI678" s="3"/>
    </row>
    <row r="679" spans="34:35" ht="13">
      <c r="AH679" s="3"/>
      <c r="AI679" s="3"/>
    </row>
    <row r="680" spans="34:35" ht="13">
      <c r="AH680" s="3"/>
      <c r="AI680" s="3"/>
    </row>
    <row r="681" spans="34:35" ht="13">
      <c r="AH681" s="3"/>
      <c r="AI681" s="3"/>
    </row>
    <row r="682" spans="34:35" ht="13">
      <c r="AH682" s="3"/>
      <c r="AI682" s="3"/>
    </row>
    <row r="683" spans="34:35" ht="13">
      <c r="AH683" s="3"/>
      <c r="AI683" s="3"/>
    </row>
    <row r="684" spans="34:35" ht="13">
      <c r="AH684" s="3"/>
      <c r="AI684" s="3"/>
    </row>
    <row r="685" spans="34:35" ht="13">
      <c r="AH685" s="3"/>
      <c r="AI685" s="3"/>
    </row>
    <row r="686" spans="34:35" ht="13">
      <c r="AH686" s="3"/>
      <c r="AI686" s="3"/>
    </row>
    <row r="687" spans="34:35" ht="13">
      <c r="AH687" s="3"/>
      <c r="AI687" s="3"/>
    </row>
    <row r="688" spans="34:35" ht="13">
      <c r="AH688" s="3"/>
      <c r="AI688" s="3"/>
    </row>
    <row r="689" spans="34:35" ht="13">
      <c r="AH689" s="3"/>
      <c r="AI689" s="3"/>
    </row>
    <row r="690" spans="34:35" ht="13">
      <c r="AH690" s="3"/>
      <c r="AI690" s="3"/>
    </row>
    <row r="691" spans="34:35" ht="13">
      <c r="AH691" s="3"/>
      <c r="AI691" s="3"/>
    </row>
    <row r="692" spans="34:35" ht="13">
      <c r="AH692" s="3"/>
      <c r="AI692" s="3"/>
    </row>
    <row r="693" spans="34:35" ht="13">
      <c r="AH693" s="3"/>
      <c r="AI693" s="3"/>
    </row>
    <row r="694" spans="34:35" ht="13">
      <c r="AH694" s="3"/>
      <c r="AI694" s="3"/>
    </row>
    <row r="695" spans="34:35" ht="13">
      <c r="AH695" s="3"/>
      <c r="AI695" s="3"/>
    </row>
    <row r="696" spans="34:35" ht="13">
      <c r="AH696" s="3"/>
      <c r="AI696" s="3"/>
    </row>
    <row r="697" spans="34:35" ht="13">
      <c r="AH697" s="3"/>
      <c r="AI697" s="3"/>
    </row>
    <row r="698" spans="34:35" ht="13">
      <c r="AH698" s="3"/>
      <c r="AI698" s="3"/>
    </row>
    <row r="699" spans="34:35" ht="13">
      <c r="AH699" s="3"/>
      <c r="AI699" s="3"/>
    </row>
    <row r="700" spans="34:35" ht="13">
      <c r="AH700" s="3"/>
      <c r="AI700" s="3"/>
    </row>
    <row r="701" spans="34:35" ht="13">
      <c r="AH701" s="3"/>
      <c r="AI701" s="3"/>
    </row>
    <row r="702" spans="34:35" ht="13">
      <c r="AH702" s="3"/>
      <c r="AI702" s="3"/>
    </row>
    <row r="703" spans="34:35" ht="13">
      <c r="AH703" s="3"/>
      <c r="AI703" s="3"/>
    </row>
    <row r="704" spans="34:35" ht="13">
      <c r="AH704" s="3"/>
      <c r="AI704" s="3"/>
    </row>
    <row r="705" spans="34:35" ht="13">
      <c r="AH705" s="3"/>
      <c r="AI705" s="3"/>
    </row>
    <row r="706" spans="34:35" ht="13">
      <c r="AH706" s="3"/>
      <c r="AI706" s="3"/>
    </row>
    <row r="707" spans="34:35" ht="13">
      <c r="AH707" s="3"/>
      <c r="AI707" s="3"/>
    </row>
    <row r="708" spans="34:35" ht="13">
      <c r="AH708" s="3"/>
      <c r="AI708" s="3"/>
    </row>
    <row r="709" spans="34:35" ht="13">
      <c r="AH709" s="3"/>
      <c r="AI709" s="3"/>
    </row>
    <row r="710" spans="34:35" ht="13">
      <c r="AH710" s="3"/>
      <c r="AI710" s="3"/>
    </row>
    <row r="711" spans="34:35" ht="13">
      <c r="AH711" s="3"/>
      <c r="AI711" s="3"/>
    </row>
    <row r="712" spans="34:35" ht="13">
      <c r="AH712" s="3"/>
      <c r="AI712" s="3"/>
    </row>
    <row r="713" spans="34:35" ht="13">
      <c r="AH713" s="3"/>
      <c r="AI713" s="3"/>
    </row>
    <row r="714" spans="34:35" ht="13">
      <c r="AH714" s="3"/>
      <c r="AI714" s="3"/>
    </row>
    <row r="715" spans="34:35" ht="13">
      <c r="AH715" s="3"/>
      <c r="AI715" s="3"/>
    </row>
    <row r="716" spans="34:35" ht="13">
      <c r="AH716" s="3"/>
      <c r="AI716" s="3"/>
    </row>
    <row r="717" spans="34:35" ht="13">
      <c r="AH717" s="3"/>
      <c r="AI717" s="3"/>
    </row>
    <row r="718" spans="34:35" ht="13">
      <c r="AH718" s="3"/>
      <c r="AI718" s="3"/>
    </row>
    <row r="719" spans="34:35" ht="13">
      <c r="AH719" s="3"/>
      <c r="AI719" s="3"/>
    </row>
    <row r="720" spans="34:35" ht="13">
      <c r="AH720" s="3"/>
      <c r="AI720" s="3"/>
    </row>
    <row r="721" spans="34:35" ht="13">
      <c r="AH721" s="3"/>
      <c r="AI721" s="3"/>
    </row>
    <row r="722" spans="34:35" ht="13">
      <c r="AH722" s="3"/>
      <c r="AI722" s="3"/>
    </row>
    <row r="723" spans="34:35" ht="13">
      <c r="AH723" s="3"/>
      <c r="AI723" s="3"/>
    </row>
    <row r="724" spans="34:35" ht="13">
      <c r="AH724" s="3"/>
      <c r="AI724" s="3"/>
    </row>
    <row r="725" spans="34:35" ht="13">
      <c r="AH725" s="3"/>
      <c r="AI725" s="3"/>
    </row>
    <row r="726" spans="34:35" ht="13">
      <c r="AH726" s="3"/>
      <c r="AI726" s="3"/>
    </row>
    <row r="727" spans="34:35" ht="13">
      <c r="AH727" s="3"/>
      <c r="AI727" s="3"/>
    </row>
    <row r="728" spans="34:35" ht="13">
      <c r="AH728" s="3"/>
      <c r="AI728" s="3"/>
    </row>
    <row r="729" spans="34:35" ht="13">
      <c r="AH729" s="3"/>
      <c r="AI729" s="3"/>
    </row>
    <row r="730" spans="34:35" ht="13">
      <c r="AH730" s="3"/>
      <c r="AI730" s="3"/>
    </row>
    <row r="731" spans="34:35" ht="13">
      <c r="AH731" s="3"/>
      <c r="AI731" s="3"/>
    </row>
    <row r="732" spans="34:35" ht="13">
      <c r="AH732" s="3"/>
      <c r="AI732" s="3"/>
    </row>
    <row r="733" spans="34:35" ht="13">
      <c r="AH733" s="3"/>
      <c r="AI733" s="3"/>
    </row>
    <row r="734" spans="34:35" ht="13">
      <c r="AH734" s="3"/>
      <c r="AI734" s="3"/>
    </row>
    <row r="735" spans="34:35" ht="13">
      <c r="AH735" s="3"/>
      <c r="AI735" s="3"/>
    </row>
    <row r="736" spans="34:35" ht="13">
      <c r="AH736" s="3"/>
      <c r="AI736" s="3"/>
    </row>
    <row r="737" spans="34:35" ht="13">
      <c r="AH737" s="3"/>
      <c r="AI737" s="3"/>
    </row>
    <row r="738" spans="34:35" ht="13">
      <c r="AH738" s="3"/>
      <c r="AI738" s="3"/>
    </row>
    <row r="739" spans="34:35" ht="13">
      <c r="AH739" s="3"/>
      <c r="AI739" s="3"/>
    </row>
    <row r="740" spans="34:35" ht="13">
      <c r="AH740" s="3"/>
      <c r="AI740" s="3"/>
    </row>
    <row r="741" spans="34:35" ht="13">
      <c r="AH741" s="3"/>
      <c r="AI741" s="3"/>
    </row>
    <row r="742" spans="34:35" ht="13">
      <c r="AH742" s="3"/>
      <c r="AI742" s="3"/>
    </row>
    <row r="743" spans="34:35" ht="13">
      <c r="AH743" s="3"/>
      <c r="AI743" s="3"/>
    </row>
    <row r="744" spans="34:35" ht="13">
      <c r="AH744" s="3"/>
      <c r="AI744" s="3"/>
    </row>
    <row r="745" spans="34:35" ht="13">
      <c r="AH745" s="3"/>
      <c r="AI745" s="3"/>
    </row>
    <row r="746" spans="34:35" ht="13">
      <c r="AH746" s="3"/>
      <c r="AI746" s="3"/>
    </row>
    <row r="747" spans="34:35" ht="13">
      <c r="AH747" s="3"/>
      <c r="AI747" s="3"/>
    </row>
    <row r="748" spans="34:35" ht="13">
      <c r="AH748" s="3"/>
      <c r="AI748" s="3"/>
    </row>
    <row r="749" spans="34:35" ht="13">
      <c r="AH749" s="3"/>
      <c r="AI749" s="3"/>
    </row>
    <row r="750" spans="34:35" ht="13">
      <c r="AH750" s="3"/>
      <c r="AI750" s="3"/>
    </row>
    <row r="751" spans="34:35" ht="13">
      <c r="AH751" s="3"/>
      <c r="AI751" s="3"/>
    </row>
    <row r="752" spans="34:35" ht="13">
      <c r="AH752" s="3"/>
      <c r="AI752" s="3"/>
    </row>
    <row r="753" spans="34:35" ht="13">
      <c r="AH753" s="3"/>
      <c r="AI753" s="3"/>
    </row>
    <row r="754" spans="34:35" ht="13">
      <c r="AH754" s="3"/>
      <c r="AI754" s="3"/>
    </row>
    <row r="755" spans="34:35" ht="13">
      <c r="AH755" s="3"/>
      <c r="AI755" s="3"/>
    </row>
    <row r="756" spans="34:35" ht="13">
      <c r="AH756" s="3"/>
      <c r="AI756" s="3"/>
    </row>
    <row r="757" spans="34:35" ht="13">
      <c r="AH757" s="3"/>
      <c r="AI757" s="3"/>
    </row>
    <row r="758" spans="34:35" ht="13">
      <c r="AH758" s="3"/>
      <c r="AI758" s="3"/>
    </row>
    <row r="759" spans="34:35" ht="13">
      <c r="AH759" s="3"/>
      <c r="AI759" s="3"/>
    </row>
    <row r="760" spans="34:35" ht="13">
      <c r="AH760" s="3"/>
      <c r="AI760" s="3"/>
    </row>
    <row r="761" spans="34:35" ht="13">
      <c r="AH761" s="3"/>
      <c r="AI761" s="3"/>
    </row>
    <row r="762" spans="34:35" ht="13">
      <c r="AH762" s="3"/>
      <c r="AI762" s="3"/>
    </row>
    <row r="763" spans="34:35" ht="13">
      <c r="AH763" s="3"/>
      <c r="AI763" s="3"/>
    </row>
    <row r="764" spans="34:35" ht="13">
      <c r="AH764" s="3"/>
      <c r="AI764" s="3"/>
    </row>
    <row r="765" spans="34:35" ht="13">
      <c r="AH765" s="3"/>
      <c r="AI765" s="3"/>
    </row>
    <row r="766" spans="34:35" ht="13">
      <c r="AH766" s="3"/>
      <c r="AI766" s="3"/>
    </row>
    <row r="767" spans="34:35" ht="13">
      <c r="AH767" s="3"/>
      <c r="AI767" s="3"/>
    </row>
    <row r="768" spans="34:35" ht="13">
      <c r="AH768" s="3"/>
      <c r="AI768" s="3"/>
    </row>
    <row r="769" spans="34:35" ht="13">
      <c r="AH769" s="3"/>
      <c r="AI769" s="3"/>
    </row>
    <row r="770" spans="34:35" ht="13">
      <c r="AH770" s="3"/>
      <c r="AI770" s="3"/>
    </row>
    <row r="771" spans="34:35" ht="13">
      <c r="AH771" s="3"/>
      <c r="AI771" s="3"/>
    </row>
    <row r="772" spans="34:35" ht="13">
      <c r="AH772" s="3"/>
      <c r="AI772" s="3"/>
    </row>
    <row r="773" spans="34:35" ht="13">
      <c r="AH773" s="3"/>
      <c r="AI773" s="3"/>
    </row>
    <row r="774" spans="34:35" ht="13">
      <c r="AH774" s="3"/>
      <c r="AI774" s="3"/>
    </row>
    <row r="775" spans="34:35" ht="13">
      <c r="AH775" s="3"/>
      <c r="AI775" s="3"/>
    </row>
    <row r="776" spans="34:35" ht="13">
      <c r="AH776" s="3"/>
      <c r="AI776" s="3"/>
    </row>
    <row r="777" spans="34:35" ht="13">
      <c r="AH777" s="3"/>
      <c r="AI777" s="3"/>
    </row>
    <row r="778" spans="34:35" ht="13">
      <c r="AH778" s="3"/>
      <c r="AI778" s="3"/>
    </row>
    <row r="779" spans="34:35" ht="13">
      <c r="AH779" s="3"/>
      <c r="AI779" s="3"/>
    </row>
    <row r="780" spans="34:35" ht="13">
      <c r="AH780" s="3"/>
      <c r="AI780" s="3"/>
    </row>
    <row r="781" spans="34:35" ht="13">
      <c r="AH781" s="3"/>
      <c r="AI781" s="3"/>
    </row>
    <row r="782" spans="34:35" ht="13">
      <c r="AH782" s="3"/>
      <c r="AI782" s="3"/>
    </row>
    <row r="783" spans="34:35" ht="13">
      <c r="AH783" s="3"/>
      <c r="AI783" s="3"/>
    </row>
    <row r="784" spans="34:35" ht="13">
      <c r="AH784" s="3"/>
      <c r="AI784" s="3"/>
    </row>
    <row r="785" spans="34:35" ht="13">
      <c r="AH785" s="3"/>
      <c r="AI785" s="3"/>
    </row>
    <row r="786" spans="34:35" ht="13">
      <c r="AH786" s="3"/>
      <c r="AI786" s="3"/>
    </row>
    <row r="787" spans="34:35" ht="13">
      <c r="AH787" s="3"/>
      <c r="AI787" s="3"/>
    </row>
    <row r="788" spans="34:35" ht="13">
      <c r="AH788" s="3"/>
      <c r="AI788" s="3"/>
    </row>
    <row r="789" spans="34:35" ht="13">
      <c r="AH789" s="3"/>
      <c r="AI789" s="3"/>
    </row>
    <row r="790" spans="34:35" ht="13">
      <c r="AH790" s="3"/>
      <c r="AI790" s="3"/>
    </row>
    <row r="791" spans="34:35" ht="13">
      <c r="AH791" s="3"/>
      <c r="AI791" s="3"/>
    </row>
    <row r="792" spans="34:35" ht="13">
      <c r="AH792" s="3"/>
      <c r="AI792" s="3"/>
    </row>
    <row r="793" spans="34:35" ht="13">
      <c r="AH793" s="3"/>
      <c r="AI793" s="3"/>
    </row>
    <row r="794" spans="34:35" ht="13">
      <c r="AH794" s="3"/>
      <c r="AI794" s="3"/>
    </row>
    <row r="795" spans="34:35" ht="13">
      <c r="AH795" s="3"/>
      <c r="AI795" s="3"/>
    </row>
    <row r="796" spans="34:35" ht="13">
      <c r="AH796" s="3"/>
      <c r="AI796" s="3"/>
    </row>
    <row r="797" spans="34:35" ht="13">
      <c r="AH797" s="3"/>
      <c r="AI797" s="3"/>
    </row>
    <row r="798" spans="34:35" ht="13">
      <c r="AH798" s="3"/>
      <c r="AI798" s="3"/>
    </row>
    <row r="799" spans="34:35" ht="13">
      <c r="AH799" s="3"/>
      <c r="AI799" s="3"/>
    </row>
    <row r="800" spans="34:35" ht="13">
      <c r="AH800" s="3"/>
      <c r="AI800" s="3"/>
    </row>
    <row r="801" spans="34:35" ht="13">
      <c r="AH801" s="3"/>
      <c r="AI801" s="3"/>
    </row>
    <row r="802" spans="34:35" ht="13">
      <c r="AH802" s="3"/>
      <c r="AI802" s="3"/>
    </row>
    <row r="803" spans="34:35" ht="13">
      <c r="AH803" s="3"/>
      <c r="AI803" s="3"/>
    </row>
    <row r="804" spans="34:35" ht="13">
      <c r="AH804" s="3"/>
      <c r="AI804" s="3"/>
    </row>
    <row r="805" spans="34:35" ht="13">
      <c r="AH805" s="3"/>
      <c r="AI805" s="3"/>
    </row>
    <row r="806" spans="34:35" ht="13">
      <c r="AH806" s="3"/>
      <c r="AI806" s="3"/>
    </row>
    <row r="807" spans="34:35" ht="13">
      <c r="AH807" s="3"/>
      <c r="AI807" s="3"/>
    </row>
    <row r="808" spans="34:35" ht="13">
      <c r="AH808" s="3"/>
      <c r="AI808" s="3"/>
    </row>
    <row r="809" spans="34:35" ht="13">
      <c r="AH809" s="3"/>
      <c r="AI809" s="3"/>
    </row>
    <row r="810" spans="34:35" ht="13">
      <c r="AH810" s="3"/>
      <c r="AI810" s="3"/>
    </row>
    <row r="811" spans="34:35" ht="13">
      <c r="AH811" s="3"/>
      <c r="AI811" s="3"/>
    </row>
    <row r="812" spans="34:35" ht="13">
      <c r="AH812" s="3"/>
      <c r="AI812" s="3"/>
    </row>
    <row r="813" spans="34:35" ht="13">
      <c r="AH813" s="3"/>
      <c r="AI813" s="3"/>
    </row>
    <row r="814" spans="34:35" ht="13">
      <c r="AH814" s="3"/>
      <c r="AI814" s="3"/>
    </row>
    <row r="815" spans="34:35" ht="13">
      <c r="AH815" s="3"/>
      <c r="AI815" s="3"/>
    </row>
    <row r="816" spans="34:35" ht="13">
      <c r="AH816" s="3"/>
      <c r="AI816" s="3"/>
    </row>
    <row r="817" spans="34:35" ht="13">
      <c r="AH817" s="3"/>
      <c r="AI817" s="3"/>
    </row>
    <row r="818" spans="34:35" ht="13">
      <c r="AH818" s="3"/>
      <c r="AI818" s="3"/>
    </row>
    <row r="819" spans="34:35" ht="13">
      <c r="AH819" s="3"/>
      <c r="AI819" s="3"/>
    </row>
    <row r="820" spans="34:35" ht="13">
      <c r="AH820" s="3"/>
      <c r="AI820" s="3"/>
    </row>
    <row r="821" spans="34:35" ht="13">
      <c r="AH821" s="3"/>
      <c r="AI821" s="3"/>
    </row>
    <row r="822" spans="34:35" ht="13">
      <c r="AH822" s="3"/>
      <c r="AI822" s="3"/>
    </row>
    <row r="823" spans="34:35" ht="13">
      <c r="AH823" s="3"/>
      <c r="AI823" s="3"/>
    </row>
    <row r="824" spans="34:35" ht="13">
      <c r="AH824" s="3"/>
      <c r="AI824" s="3"/>
    </row>
    <row r="825" spans="34:35" ht="13">
      <c r="AH825" s="3"/>
      <c r="AI825" s="3"/>
    </row>
    <row r="826" spans="34:35" ht="13">
      <c r="AH826" s="3"/>
      <c r="AI826" s="3"/>
    </row>
    <row r="827" spans="34:35" ht="13">
      <c r="AH827" s="3"/>
      <c r="AI827" s="3"/>
    </row>
    <row r="828" spans="34:35" ht="13">
      <c r="AH828" s="3"/>
      <c r="AI828" s="3"/>
    </row>
    <row r="829" spans="34:35" ht="13">
      <c r="AH829" s="3"/>
      <c r="AI829" s="3"/>
    </row>
    <row r="830" spans="34:35" ht="13">
      <c r="AH830" s="3"/>
      <c r="AI830" s="3"/>
    </row>
    <row r="831" spans="34:35" ht="13">
      <c r="AH831" s="3"/>
      <c r="AI831" s="3"/>
    </row>
    <row r="832" spans="34:35" ht="13">
      <c r="AH832" s="3"/>
      <c r="AI832" s="3"/>
    </row>
    <row r="833" spans="34:35" ht="13">
      <c r="AH833" s="3"/>
      <c r="AI833" s="3"/>
    </row>
    <row r="834" spans="34:35" ht="13">
      <c r="AH834" s="3"/>
      <c r="AI834" s="3"/>
    </row>
    <row r="835" spans="34:35" ht="13">
      <c r="AH835" s="3"/>
      <c r="AI835" s="3"/>
    </row>
    <row r="836" spans="34:35" ht="13">
      <c r="AH836" s="3"/>
      <c r="AI836" s="3"/>
    </row>
    <row r="837" spans="34:35" ht="13">
      <c r="AH837" s="3"/>
      <c r="AI837" s="3"/>
    </row>
    <row r="838" spans="34:35" ht="13">
      <c r="AH838" s="3"/>
      <c r="AI838" s="3"/>
    </row>
    <row r="839" spans="34:35" ht="13">
      <c r="AH839" s="3"/>
      <c r="AI839" s="3"/>
    </row>
    <row r="840" spans="34:35" ht="13">
      <c r="AH840" s="3"/>
      <c r="AI840" s="3"/>
    </row>
    <row r="841" spans="34:35" ht="13">
      <c r="AH841" s="3"/>
      <c r="AI841" s="3"/>
    </row>
    <row r="842" spans="34:35" ht="13">
      <c r="AH842" s="3"/>
      <c r="AI842" s="3"/>
    </row>
    <row r="843" spans="34:35" ht="13">
      <c r="AH843" s="3"/>
      <c r="AI843" s="3"/>
    </row>
    <row r="844" spans="34:35" ht="13">
      <c r="AH844" s="3"/>
      <c r="AI844" s="3"/>
    </row>
    <row r="845" spans="34:35" ht="13">
      <c r="AH845" s="3"/>
      <c r="AI845" s="3"/>
    </row>
    <row r="846" spans="34:35" ht="13">
      <c r="AH846" s="3"/>
      <c r="AI846" s="3"/>
    </row>
    <row r="847" spans="34:35" ht="13">
      <c r="AH847" s="3"/>
      <c r="AI847" s="3"/>
    </row>
    <row r="848" spans="34:35" ht="13">
      <c r="AH848" s="3"/>
      <c r="AI848" s="3"/>
    </row>
    <row r="849" spans="34:35" ht="13">
      <c r="AH849" s="3"/>
      <c r="AI849" s="3"/>
    </row>
    <row r="850" spans="34:35" ht="13">
      <c r="AH850" s="3"/>
      <c r="AI850" s="3"/>
    </row>
    <row r="851" spans="34:35" ht="13">
      <c r="AH851" s="3"/>
      <c r="AI851" s="3"/>
    </row>
    <row r="852" spans="34:35" ht="13">
      <c r="AH852" s="3"/>
      <c r="AI852" s="3"/>
    </row>
    <row r="853" spans="34:35" ht="13">
      <c r="AH853" s="3"/>
      <c r="AI853" s="3"/>
    </row>
    <row r="854" spans="34:35" ht="13">
      <c r="AH854" s="3"/>
      <c r="AI854" s="3"/>
    </row>
    <row r="855" spans="34:35" ht="13">
      <c r="AH855" s="3"/>
      <c r="AI855" s="3"/>
    </row>
    <row r="856" spans="34:35" ht="13">
      <c r="AH856" s="3"/>
      <c r="AI856" s="3"/>
    </row>
    <row r="857" spans="34:35" ht="13">
      <c r="AH857" s="3"/>
      <c r="AI857" s="3"/>
    </row>
    <row r="858" spans="34:35" ht="13">
      <c r="AH858" s="3"/>
      <c r="AI858" s="3"/>
    </row>
    <row r="859" spans="34:35" ht="13">
      <c r="AH859" s="3"/>
      <c r="AI859" s="3"/>
    </row>
    <row r="860" spans="34:35" ht="13">
      <c r="AH860" s="3"/>
      <c r="AI860" s="3"/>
    </row>
    <row r="861" spans="34:35" ht="13">
      <c r="AH861" s="3"/>
      <c r="AI861" s="3"/>
    </row>
    <row r="862" spans="34:35" ht="13">
      <c r="AH862" s="3"/>
      <c r="AI862" s="3"/>
    </row>
    <row r="863" spans="34:35" ht="13">
      <c r="AH863" s="3"/>
      <c r="AI863" s="3"/>
    </row>
    <row r="864" spans="34:35" ht="13">
      <c r="AH864" s="3"/>
      <c r="AI864" s="3"/>
    </row>
    <row r="865" spans="34:35" ht="13">
      <c r="AH865" s="3"/>
      <c r="AI865" s="3"/>
    </row>
    <row r="866" spans="34:35" ht="13">
      <c r="AH866" s="3"/>
      <c r="AI866" s="3"/>
    </row>
    <row r="867" spans="34:35" ht="13">
      <c r="AH867" s="3"/>
      <c r="AI867" s="3"/>
    </row>
    <row r="868" spans="34:35" ht="13">
      <c r="AH868" s="3"/>
      <c r="AI868" s="3"/>
    </row>
    <row r="869" spans="34:35" ht="13">
      <c r="AH869" s="3"/>
      <c r="AI869" s="3"/>
    </row>
    <row r="870" spans="34:35" ht="13">
      <c r="AH870" s="3"/>
      <c r="AI870" s="3"/>
    </row>
    <row r="871" spans="34:35" ht="13">
      <c r="AH871" s="3"/>
      <c r="AI871" s="3"/>
    </row>
    <row r="872" spans="34:35" ht="13">
      <c r="AH872" s="3"/>
      <c r="AI872" s="3"/>
    </row>
    <row r="873" spans="34:35" ht="13">
      <c r="AH873" s="3"/>
      <c r="AI873" s="3"/>
    </row>
    <row r="874" spans="34:35" ht="13">
      <c r="AH874" s="3"/>
      <c r="AI874" s="3"/>
    </row>
    <row r="875" spans="34:35" ht="13">
      <c r="AH875" s="3"/>
      <c r="AI875" s="3"/>
    </row>
    <row r="876" spans="34:35" ht="13">
      <c r="AH876" s="3"/>
      <c r="AI876" s="3"/>
    </row>
    <row r="877" spans="34:35" ht="13">
      <c r="AH877" s="3"/>
      <c r="AI877" s="3"/>
    </row>
    <row r="878" spans="34:35" ht="13">
      <c r="AH878" s="3"/>
      <c r="AI878" s="3"/>
    </row>
    <row r="879" spans="34:35" ht="13">
      <c r="AH879" s="3"/>
      <c r="AI879" s="3"/>
    </row>
    <row r="880" spans="34:35" ht="13">
      <c r="AH880" s="3"/>
      <c r="AI880" s="3"/>
    </row>
    <row r="881" spans="34:35" ht="13">
      <c r="AH881" s="3"/>
      <c r="AI881" s="3"/>
    </row>
    <row r="882" spans="34:35" ht="13">
      <c r="AH882" s="3"/>
      <c r="AI882" s="3"/>
    </row>
    <row r="883" spans="34:35" ht="13">
      <c r="AH883" s="3"/>
      <c r="AI883" s="3"/>
    </row>
    <row r="884" spans="34:35" ht="13">
      <c r="AH884" s="3"/>
      <c r="AI884" s="3"/>
    </row>
    <row r="885" spans="34:35" ht="13">
      <c r="AH885" s="3"/>
      <c r="AI885" s="3"/>
    </row>
    <row r="886" spans="34:35" ht="13">
      <c r="AH886" s="3"/>
      <c r="AI886" s="3"/>
    </row>
    <row r="887" spans="34:35" ht="13">
      <c r="AH887" s="3"/>
      <c r="AI887" s="3"/>
    </row>
    <row r="888" spans="34:35" ht="13">
      <c r="AH888" s="3"/>
      <c r="AI888" s="3"/>
    </row>
    <row r="889" spans="34:35" ht="13">
      <c r="AH889" s="3"/>
      <c r="AI889" s="3"/>
    </row>
    <row r="890" spans="34:35" ht="13">
      <c r="AH890" s="3"/>
      <c r="AI890" s="3"/>
    </row>
    <row r="891" spans="34:35" ht="13">
      <c r="AH891" s="3"/>
      <c r="AI891" s="3"/>
    </row>
    <row r="892" spans="34:35" ht="13">
      <c r="AH892" s="3"/>
      <c r="AI892" s="3"/>
    </row>
    <row r="893" spans="34:35" ht="13">
      <c r="AH893" s="3"/>
      <c r="AI893" s="3"/>
    </row>
    <row r="894" spans="34:35" ht="13">
      <c r="AH894" s="3"/>
      <c r="AI894" s="3"/>
    </row>
    <row r="895" spans="34:35" ht="13">
      <c r="AH895" s="3"/>
      <c r="AI895" s="3"/>
    </row>
    <row r="896" spans="34:35" ht="13">
      <c r="AH896" s="3"/>
      <c r="AI896" s="3"/>
    </row>
    <row r="897" spans="34:35" ht="13">
      <c r="AH897" s="3"/>
      <c r="AI897" s="3"/>
    </row>
    <row r="898" spans="34:35" ht="13">
      <c r="AH898" s="3"/>
      <c r="AI898" s="3"/>
    </row>
    <row r="899" spans="34:35" ht="13">
      <c r="AH899" s="3"/>
      <c r="AI899" s="3"/>
    </row>
    <row r="900" spans="34:35" ht="13">
      <c r="AH900" s="3"/>
      <c r="AI900" s="3"/>
    </row>
    <row r="901" spans="34:35" ht="13">
      <c r="AH901" s="3"/>
      <c r="AI901" s="3"/>
    </row>
    <row r="902" spans="34:35" ht="13">
      <c r="AH902" s="3"/>
      <c r="AI902" s="3"/>
    </row>
    <row r="903" spans="34:35" ht="13">
      <c r="AH903" s="3"/>
      <c r="AI903" s="3"/>
    </row>
    <row r="904" spans="34:35" ht="13">
      <c r="AH904" s="3"/>
      <c r="AI904" s="3"/>
    </row>
    <row r="905" spans="34:35" ht="13">
      <c r="AH905" s="3"/>
      <c r="AI905" s="3"/>
    </row>
    <row r="906" spans="34:35" ht="13">
      <c r="AH906" s="3"/>
      <c r="AI906" s="3"/>
    </row>
    <row r="907" spans="34:35" ht="13">
      <c r="AH907" s="3"/>
      <c r="AI907" s="3"/>
    </row>
    <row r="908" spans="34:35" ht="13">
      <c r="AH908" s="3"/>
      <c r="AI908" s="3"/>
    </row>
    <row r="909" spans="34:35" ht="13">
      <c r="AH909" s="3"/>
      <c r="AI909" s="3"/>
    </row>
    <row r="910" spans="34:35" ht="13">
      <c r="AH910" s="3"/>
      <c r="AI910" s="3"/>
    </row>
    <row r="911" spans="34:35" ht="13">
      <c r="AH911" s="3"/>
      <c r="AI911" s="3"/>
    </row>
    <row r="912" spans="34:35" ht="13">
      <c r="AH912" s="3"/>
      <c r="AI912" s="3"/>
    </row>
    <row r="913" spans="34:35" ht="13">
      <c r="AH913" s="3"/>
      <c r="AI913" s="3"/>
    </row>
    <row r="914" spans="34:35" ht="13">
      <c r="AH914" s="3"/>
      <c r="AI914" s="3"/>
    </row>
    <row r="915" spans="34:35" ht="13">
      <c r="AH915" s="3"/>
      <c r="AI915" s="3"/>
    </row>
    <row r="916" spans="34:35" ht="13">
      <c r="AH916" s="3"/>
      <c r="AI916" s="3"/>
    </row>
    <row r="917" spans="34:35" ht="13">
      <c r="AH917" s="3"/>
      <c r="AI917" s="3"/>
    </row>
    <row r="918" spans="34:35" ht="13">
      <c r="AH918" s="3"/>
      <c r="AI918" s="3"/>
    </row>
    <row r="919" spans="34:35" ht="13">
      <c r="AH919" s="3"/>
      <c r="AI919" s="3"/>
    </row>
    <row r="920" spans="34:35" ht="13">
      <c r="AH920" s="3"/>
      <c r="AI920" s="3"/>
    </row>
    <row r="921" spans="34:35" ht="13">
      <c r="AH921" s="3"/>
      <c r="AI921" s="3"/>
    </row>
    <row r="922" spans="34:35" ht="13">
      <c r="AH922" s="3"/>
      <c r="AI922" s="3"/>
    </row>
    <row r="923" spans="34:35" ht="13">
      <c r="AH923" s="3"/>
      <c r="AI923" s="3"/>
    </row>
    <row r="924" spans="34:35" ht="13">
      <c r="AH924" s="3"/>
      <c r="AI924" s="3"/>
    </row>
    <row r="925" spans="34:35" ht="13">
      <c r="AH925" s="3"/>
      <c r="AI925" s="3"/>
    </row>
    <row r="926" spans="34:35" ht="13">
      <c r="AH926" s="3"/>
      <c r="AI926" s="3"/>
    </row>
    <row r="927" spans="34:35" ht="13">
      <c r="AH927" s="3"/>
      <c r="AI927" s="3"/>
    </row>
    <row r="928" spans="34:35" ht="13">
      <c r="AH928" s="3"/>
      <c r="AI928" s="3"/>
    </row>
    <row r="929" spans="34:35" ht="13">
      <c r="AH929" s="3"/>
      <c r="AI929" s="3"/>
    </row>
    <row r="930" spans="34:35" ht="13">
      <c r="AH930" s="3"/>
      <c r="AI930" s="3"/>
    </row>
    <row r="931" spans="34:35" ht="13">
      <c r="AH931" s="3"/>
      <c r="AI931" s="3"/>
    </row>
    <row r="932" spans="34:35" ht="13">
      <c r="AH932" s="3"/>
      <c r="AI932" s="3"/>
    </row>
    <row r="933" spans="34:35" ht="13">
      <c r="AH933" s="3"/>
      <c r="AI933" s="3"/>
    </row>
    <row r="934" spans="34:35" ht="13">
      <c r="AH934" s="3"/>
      <c r="AI934" s="3"/>
    </row>
    <row r="935" spans="34:35" ht="13">
      <c r="AH935" s="3"/>
      <c r="AI935" s="3"/>
    </row>
    <row r="936" spans="34:35" ht="13">
      <c r="AH936" s="3"/>
      <c r="AI936" s="3"/>
    </row>
    <row r="937" spans="34:35" ht="13">
      <c r="AH937" s="3"/>
      <c r="AI937" s="3"/>
    </row>
    <row r="938" spans="34:35" ht="13">
      <c r="AH938" s="3"/>
      <c r="AI938" s="3"/>
    </row>
    <row r="939" spans="34:35" ht="13">
      <c r="AH939" s="3"/>
      <c r="AI939" s="3"/>
    </row>
    <row r="940" spans="34:35" ht="13">
      <c r="AH940" s="3"/>
      <c r="AI940" s="3"/>
    </row>
    <row r="941" spans="34:35" ht="13">
      <c r="AH941" s="3"/>
      <c r="AI941" s="3"/>
    </row>
    <row r="942" spans="34:35" ht="13">
      <c r="AH942" s="3"/>
      <c r="AI942" s="3"/>
    </row>
    <row r="943" spans="34:35" ht="13">
      <c r="AH943" s="3"/>
      <c r="AI943" s="3"/>
    </row>
    <row r="944" spans="34:35" ht="13">
      <c r="AH944" s="3"/>
      <c r="AI944" s="3"/>
    </row>
    <row r="945" spans="34:35" ht="13">
      <c r="AH945" s="3"/>
      <c r="AI945" s="3"/>
    </row>
    <row r="946" spans="34:35" ht="13">
      <c r="AH946" s="3"/>
      <c r="AI946" s="3"/>
    </row>
    <row r="947" spans="34:35" ht="13">
      <c r="AH947" s="3"/>
      <c r="AI947" s="3"/>
    </row>
    <row r="948" spans="34:35" ht="13">
      <c r="AH948" s="3"/>
      <c r="AI948" s="3"/>
    </row>
    <row r="949" spans="34:35" ht="13">
      <c r="AH949" s="3"/>
      <c r="AI949" s="3"/>
    </row>
    <row r="950" spans="34:35" ht="13">
      <c r="AH950" s="3"/>
      <c r="AI950" s="3"/>
    </row>
    <row r="951" spans="34:35" ht="13">
      <c r="AH951" s="3"/>
      <c r="AI951" s="3"/>
    </row>
    <row r="952" spans="34:35" ht="13">
      <c r="AH952" s="3"/>
      <c r="AI952" s="3"/>
    </row>
    <row r="953" spans="34:35" ht="13">
      <c r="AH953" s="3"/>
      <c r="AI953" s="3"/>
    </row>
    <row r="954" spans="34:35" ht="13">
      <c r="AH954" s="3"/>
      <c r="AI954" s="3"/>
    </row>
    <row r="955" spans="34:35" ht="13">
      <c r="AH955" s="3"/>
      <c r="AI955" s="3"/>
    </row>
    <row r="956" spans="34:35" ht="13">
      <c r="AH956" s="3"/>
      <c r="AI956" s="3"/>
    </row>
    <row r="957" spans="34:35" ht="13">
      <c r="AH957" s="3"/>
      <c r="AI957" s="3"/>
    </row>
    <row r="958" spans="34:35" ht="13">
      <c r="AH958" s="3"/>
      <c r="AI958" s="3"/>
    </row>
    <row r="959" spans="34:35" ht="13">
      <c r="AH959" s="3"/>
      <c r="AI959" s="3"/>
    </row>
    <row r="960" spans="34:35" ht="13">
      <c r="AH960" s="3"/>
      <c r="AI960" s="3"/>
    </row>
    <row r="961" spans="34:35" ht="13">
      <c r="AH961" s="3"/>
      <c r="AI961" s="3"/>
    </row>
    <row r="962" spans="34:35" ht="13">
      <c r="AH962" s="3"/>
      <c r="AI962" s="3"/>
    </row>
    <row r="963" spans="34:35" ht="13">
      <c r="AH963" s="3"/>
      <c r="AI963" s="3"/>
    </row>
    <row r="964" spans="34:35" ht="13">
      <c r="AH964" s="3"/>
      <c r="AI964" s="3"/>
    </row>
    <row r="965" spans="34:35" ht="13">
      <c r="AH965" s="3"/>
      <c r="AI965" s="3"/>
    </row>
    <row r="966" spans="34:35" ht="13">
      <c r="AH966" s="3"/>
      <c r="AI966" s="3"/>
    </row>
    <row r="967" spans="34:35" ht="13">
      <c r="AH967" s="3"/>
      <c r="AI967" s="3"/>
    </row>
    <row r="968" spans="34:35" ht="13">
      <c r="AH968" s="3"/>
      <c r="AI968" s="3"/>
    </row>
    <row r="969" spans="34:35" ht="13">
      <c r="AH969" s="3"/>
      <c r="AI969" s="3"/>
    </row>
    <row r="970" spans="34:35" ht="13">
      <c r="AH970" s="3"/>
      <c r="AI970" s="3"/>
    </row>
    <row r="971" spans="34:35" ht="13">
      <c r="AH971" s="3"/>
      <c r="AI971" s="3"/>
    </row>
    <row r="972" spans="34:35" ht="13">
      <c r="AH972" s="3"/>
      <c r="AI972" s="3"/>
    </row>
    <row r="973" spans="34:35" ht="13">
      <c r="AH973" s="3"/>
      <c r="AI973" s="3"/>
    </row>
    <row r="974" spans="34:35" ht="13">
      <c r="AH974" s="3"/>
      <c r="AI974" s="3"/>
    </row>
    <row r="975" spans="34:35" ht="13">
      <c r="AH975" s="3"/>
      <c r="AI975" s="3"/>
    </row>
    <row r="976" spans="34:35" ht="13">
      <c r="AH976" s="3"/>
      <c r="AI976" s="3"/>
    </row>
    <row r="977" spans="34:35" ht="13">
      <c r="AH977" s="3"/>
      <c r="AI977" s="3"/>
    </row>
    <row r="978" spans="34:35" ht="13">
      <c r="AH978" s="3"/>
      <c r="AI978" s="3"/>
    </row>
    <row r="979" spans="34:35" ht="13">
      <c r="AH979" s="3"/>
      <c r="AI979" s="3"/>
    </row>
    <row r="980" spans="34:35" ht="13">
      <c r="AH980" s="3"/>
      <c r="AI980" s="3"/>
    </row>
    <row r="981" spans="34:35" ht="13">
      <c r="AH981" s="3"/>
      <c r="AI981" s="3"/>
    </row>
    <row r="982" spans="34:35" ht="13">
      <c r="AH982" s="3"/>
      <c r="AI982" s="3"/>
    </row>
    <row r="983" spans="34:35" ht="13">
      <c r="AH983" s="3"/>
      <c r="AI983" s="3"/>
    </row>
    <row r="984" spans="34:35" ht="13">
      <c r="AH984" s="3"/>
      <c r="AI984" s="3"/>
    </row>
    <row r="985" spans="34:35" ht="13">
      <c r="AH985" s="3"/>
      <c r="AI985" s="3"/>
    </row>
    <row r="986" spans="34:35" ht="13">
      <c r="AH986" s="3"/>
      <c r="AI986" s="3"/>
    </row>
    <row r="987" spans="34:35" ht="13">
      <c r="AH987" s="3"/>
      <c r="AI987" s="3"/>
    </row>
    <row r="988" spans="34:35" ht="13">
      <c r="AH988" s="3"/>
      <c r="AI988" s="3"/>
    </row>
    <row r="989" spans="34:35" ht="13">
      <c r="AH989" s="3"/>
      <c r="AI989" s="3"/>
    </row>
    <row r="990" spans="34:35" ht="13">
      <c r="AH990" s="3"/>
      <c r="AI990" s="3"/>
    </row>
    <row r="991" spans="34:35" ht="13">
      <c r="AH991" s="3"/>
      <c r="AI991" s="3"/>
    </row>
    <row r="992" spans="34:35" ht="13">
      <c r="AH992" s="3"/>
      <c r="AI992" s="3"/>
    </row>
    <row r="993" spans="34:35" ht="13">
      <c r="AH993" s="3"/>
      <c r="AI993" s="3"/>
    </row>
    <row r="994" spans="34:35" ht="13">
      <c r="AH994" s="3"/>
      <c r="AI994" s="3"/>
    </row>
    <row r="995" spans="34:35" ht="13">
      <c r="AH995" s="3"/>
      <c r="AI995" s="3"/>
    </row>
    <row r="996" spans="34:35" ht="13">
      <c r="AH996" s="3"/>
      <c r="AI996" s="3"/>
    </row>
    <row r="997" spans="34:35" ht="13">
      <c r="AH997" s="3"/>
      <c r="AI997" s="3"/>
    </row>
    <row r="998" spans="34:35" ht="13">
      <c r="AH998" s="3"/>
      <c r="AI998" s="3"/>
    </row>
    <row r="999" spans="34:35" ht="13">
      <c r="AH999" s="3"/>
      <c r="AI999" s="3"/>
    </row>
    <row r="1000" spans="34:35" ht="13">
      <c r="AH1000" s="3"/>
      <c r="AI1000" s="3"/>
    </row>
    <row r="1001" spans="34:35" ht="13">
      <c r="AH1001" s="3"/>
      <c r="AI1001" s="3"/>
    </row>
    <row r="1002" spans="34:35" ht="13">
      <c r="AH1002" s="3"/>
      <c r="AI1002" s="3"/>
    </row>
    <row r="1003" spans="34:35" ht="13">
      <c r="AH1003" s="3"/>
      <c r="AI1003" s="3"/>
    </row>
    <row r="1004" spans="34:35" ht="13">
      <c r="AH1004" s="3"/>
      <c r="AI1004" s="3"/>
    </row>
    <row r="1005" spans="34:35" ht="13">
      <c r="AH1005" s="3"/>
      <c r="AI1005" s="3"/>
    </row>
    <row r="1006" spans="34:35" ht="13">
      <c r="AH1006" s="3"/>
      <c r="AI1006" s="3"/>
    </row>
    <row r="1007" spans="34:35" ht="13">
      <c r="AH1007" s="3"/>
      <c r="AI1007" s="3"/>
    </row>
    <row r="1008" spans="34:35" ht="13">
      <c r="AH1008" s="3"/>
      <c r="AI1008" s="3"/>
    </row>
    <row r="1009" spans="34:35" ht="13">
      <c r="AH1009" s="3"/>
      <c r="AI1009" s="3"/>
    </row>
    <row r="1010" spans="34:35" ht="13">
      <c r="AH1010" s="3"/>
      <c r="AI1010" s="3"/>
    </row>
    <row r="1011" spans="34:35" ht="13">
      <c r="AH1011" s="3"/>
      <c r="AI1011" s="3"/>
    </row>
    <row r="1012" spans="34:35" ht="13">
      <c r="AH1012" s="3"/>
      <c r="AI1012" s="3"/>
    </row>
    <row r="1013" spans="34:35" ht="13">
      <c r="AH1013" s="3"/>
      <c r="AI1013" s="3"/>
    </row>
    <row r="1014" spans="34:35" ht="13">
      <c r="AH1014" s="3"/>
      <c r="AI1014" s="3"/>
    </row>
    <row r="1015" spans="34:35" ht="13">
      <c r="AH1015" s="3"/>
      <c r="AI1015" s="3"/>
    </row>
    <row r="1016" spans="34:35" ht="13">
      <c r="AH1016" s="3"/>
      <c r="AI1016" s="3"/>
    </row>
    <row r="1017" spans="34:35" ht="13">
      <c r="AH1017" s="3"/>
      <c r="AI1017" s="3"/>
    </row>
    <row r="1018" spans="34:35" ht="13">
      <c r="AH1018" s="3"/>
      <c r="AI1018" s="3"/>
    </row>
    <row r="1019" spans="34:35" ht="13">
      <c r="AH1019" s="3"/>
      <c r="AI1019" s="3"/>
    </row>
    <row r="1020" spans="34:35" ht="13">
      <c r="AH1020" s="3"/>
      <c r="AI1020" s="3"/>
    </row>
    <row r="1021" spans="34:35" ht="13">
      <c r="AH1021" s="3"/>
      <c r="AI1021" s="3"/>
    </row>
    <row r="1022" spans="34:35" ht="13">
      <c r="AH1022" s="3"/>
      <c r="AI1022" s="3"/>
    </row>
    <row r="1023" spans="34:35" ht="13">
      <c r="AH1023" s="3"/>
      <c r="AI1023" s="3"/>
    </row>
    <row r="1024" spans="34:35" ht="13">
      <c r="AH1024" s="3"/>
      <c r="AI1024" s="3"/>
    </row>
    <row r="1025" spans="34:35" ht="13">
      <c r="AH1025" s="3"/>
      <c r="AI1025" s="3"/>
    </row>
    <row r="1026" spans="34:35" ht="13">
      <c r="AH1026" s="3"/>
      <c r="AI1026" s="3"/>
    </row>
    <row r="1027" spans="34:35" ht="13">
      <c r="AH1027" s="3"/>
      <c r="AI1027" s="3"/>
    </row>
    <row r="1028" spans="34:35" ht="13">
      <c r="AH1028" s="3"/>
      <c r="AI1028" s="3"/>
    </row>
    <row r="1029" spans="34:35" ht="13">
      <c r="AH1029" s="3"/>
      <c r="AI1029" s="3"/>
    </row>
    <row r="1030" spans="34:35" ht="13">
      <c r="AH1030" s="3"/>
      <c r="AI1030" s="3"/>
    </row>
    <row r="1031" spans="34:35" ht="13">
      <c r="AH1031" s="3"/>
      <c r="AI1031" s="3"/>
    </row>
    <row r="1032" spans="34:35" ht="13">
      <c r="AH1032" s="3"/>
      <c r="AI1032" s="3"/>
    </row>
    <row r="1033" spans="34:35" ht="13">
      <c r="AH1033" s="3"/>
      <c r="AI1033" s="3"/>
    </row>
    <row r="1034" spans="34:35" ht="13">
      <c r="AH1034" s="3"/>
      <c r="AI1034" s="3"/>
    </row>
    <row r="1035" spans="34:35" ht="13">
      <c r="AH1035" s="3"/>
      <c r="AI1035" s="3"/>
    </row>
    <row r="1036" spans="34:35" ht="13">
      <c r="AH1036" s="3"/>
      <c r="AI1036" s="3"/>
    </row>
    <row r="1037" spans="34:35" ht="13">
      <c r="AH1037" s="3"/>
      <c r="AI1037" s="3"/>
    </row>
    <row r="1038" spans="34:35" ht="13">
      <c r="AH1038" s="3"/>
      <c r="AI1038" s="3"/>
    </row>
    <row r="1039" spans="34:35" ht="13">
      <c r="AH1039" s="3"/>
      <c r="AI1039" s="3"/>
    </row>
    <row r="1040" spans="34:35" ht="13">
      <c r="AH1040" s="3"/>
      <c r="AI1040" s="3"/>
    </row>
    <row r="1041" spans="34:35" ht="13">
      <c r="AH1041" s="3"/>
      <c r="AI1041" s="3"/>
    </row>
    <row r="1042" spans="34:35" ht="13">
      <c r="AH1042" s="3"/>
      <c r="AI1042" s="3"/>
    </row>
    <row r="1043" spans="34:35" ht="13">
      <c r="AH1043" s="3"/>
      <c r="AI1043" s="3"/>
    </row>
    <row r="1044" spans="34:35" ht="13">
      <c r="AH1044" s="3"/>
      <c r="AI1044" s="3"/>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21B6-DF7E-2049-B359-4DAFE139AA10}">
  <dimension ref="A1:A21"/>
  <sheetViews>
    <sheetView workbookViewId="0">
      <selection activeCell="A21" sqref="A21"/>
    </sheetView>
  </sheetViews>
  <sheetFormatPr baseColWidth="10" defaultRowHeight="16"/>
  <cols>
    <col min="1" max="1" width="116.83203125" style="71" customWidth="1"/>
    <col min="2" max="16384" width="10.83203125" style="72"/>
  </cols>
  <sheetData>
    <row r="1" spans="1:1" ht="17">
      <c r="A1" s="71" t="s">
        <v>56</v>
      </c>
    </row>
    <row r="3" spans="1:1" ht="17">
      <c r="A3" s="71" t="s">
        <v>57</v>
      </c>
    </row>
    <row r="5" spans="1:1" ht="17">
      <c r="A5" s="71" t="s">
        <v>58</v>
      </c>
    </row>
    <row r="6" spans="1:1" ht="17">
      <c r="A6" s="71" t="s">
        <v>59</v>
      </c>
    </row>
    <row r="7" spans="1:1" ht="17">
      <c r="A7" s="71" t="s">
        <v>60</v>
      </c>
    </row>
    <row r="8" spans="1:1" ht="17">
      <c r="A8" s="71" t="s">
        <v>61</v>
      </c>
    </row>
    <row r="9" spans="1:1" ht="17">
      <c r="A9" s="71" t="s">
        <v>62</v>
      </c>
    </row>
    <row r="10" spans="1:1" ht="17">
      <c r="A10" s="71" t="s">
        <v>63</v>
      </c>
    </row>
    <row r="11" spans="1:1">
      <c r="A11" s="73"/>
    </row>
    <row r="12" spans="1:1" ht="17">
      <c r="A12" s="71" t="s">
        <v>64</v>
      </c>
    </row>
    <row r="13" spans="1:1" ht="17">
      <c r="A13" s="71" t="s">
        <v>65</v>
      </c>
    </row>
    <row r="15" spans="1:1" ht="17">
      <c r="A15" s="71" t="s">
        <v>66</v>
      </c>
    </row>
    <row r="16" spans="1:1" ht="17">
      <c r="A16" s="71" t="s">
        <v>67</v>
      </c>
    </row>
    <row r="17" spans="1:1" ht="17">
      <c r="A17" s="71" t="s">
        <v>68</v>
      </c>
    </row>
    <row r="18" spans="1:1" ht="17">
      <c r="A18" s="71" t="s">
        <v>69</v>
      </c>
    </row>
    <row r="19" spans="1:1" ht="17">
      <c r="A19" s="71" t="s">
        <v>70</v>
      </c>
    </row>
    <row r="20" spans="1:1" ht="17">
      <c r="A20" s="71" t="s">
        <v>71</v>
      </c>
    </row>
    <row r="21" spans="1:1" ht="17">
      <c r="A21" s="71"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4</vt:i4>
      </vt:variant>
    </vt:vector>
  </HeadingPairs>
  <TitlesOfParts>
    <vt:vector size="4" baseType="lpstr">
      <vt:lpstr>small</vt:lpstr>
      <vt:lpstr>medium</vt:lpstr>
      <vt:lpstr>large</vt:lpstr>
      <vt:lpstr>LICENSE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Achim Rettinger</cp:lastModifiedBy>
  <dcterms:created xsi:type="dcterms:W3CDTF">2024-11-25T21:05:29Z</dcterms:created>
  <dcterms:modified xsi:type="dcterms:W3CDTF">2024-11-25T21:13:42Z</dcterms:modified>
</cp:coreProperties>
</file>