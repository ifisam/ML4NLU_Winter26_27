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achimrettinger/Documents/work/lehre/2024-25-ws/Master-ML4NLU/"/>
    </mc:Choice>
  </mc:AlternateContent>
  <xr:revisionPtr revIDLastSave="0" documentId="8_{98F67984-82DD-A44A-A3DB-3891F68BA1E3}" xr6:coauthVersionLast="47" xr6:coauthVersionMax="47" xr10:uidLastSave="{00000000-0000-0000-0000-000000000000}"/>
  <bookViews>
    <workbookView xWindow="2080" yWindow="700" windowWidth="24960" windowHeight="16860" xr2:uid="{00000000-000D-0000-FFFF-FFFF00000000}"/>
  </bookViews>
  <sheets>
    <sheet name="small" sheetId="1" r:id="rId1"/>
    <sheet name="medium" sheetId="4" r:id="rId2"/>
    <sheet name="large" sheetId="5" r:id="rId3"/>
    <sheet name="LICENSE" sheetId="2" r:id="rId4"/>
  </sheets>
  <externalReferences>
    <externalReference r:id="rId5"/>
  </externalReferences>
  <definedNames>
    <definedName name="_alpha1">'[1]ReLU vs. LeakyReLU'!$H$5</definedName>
    <definedName name="_alpha2">'[1]ReLU vs. LeakyReLU'!#REF!</definedName>
    <definedName name="_dk" localSheetId="2">large!$E$7</definedName>
    <definedName name="_dk" localSheetId="1">medium!$E$7</definedName>
    <definedName name="_dk">small!$E$7</definedName>
    <definedName name="DK" localSheetId="2">large!$E$7</definedName>
    <definedName name="DK" localSheetId="1">medium!$E$7</definedName>
    <definedName name="DK">small!$E$7</definedName>
    <definedName name="widt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5" i="5" l="1" a="1"/>
  <c r="S75" i="5" s="1"/>
  <c r="R75" i="5" a="1"/>
  <c r="R75" i="5" s="1"/>
  <c r="Q75" i="5" a="1"/>
  <c r="Q75" i="5" s="1"/>
  <c r="P75" i="5" a="1"/>
  <c r="P75" i="5" s="1"/>
  <c r="S74" i="5" a="1"/>
  <c r="S74" i="5" s="1"/>
  <c r="R74" i="5" a="1"/>
  <c r="R74" i="5" s="1"/>
  <c r="Q74" i="5" a="1"/>
  <c r="Q74" i="5" s="1"/>
  <c r="P74" i="5" a="1"/>
  <c r="P74" i="5" s="1"/>
  <c r="S73" i="5" a="1"/>
  <c r="S73" i="5" s="1"/>
  <c r="R73" i="5" a="1"/>
  <c r="R73" i="5" s="1"/>
  <c r="Q73" i="5" a="1"/>
  <c r="Q73" i="5" s="1"/>
  <c r="P73" i="5" a="1"/>
  <c r="P73" i="5" s="1"/>
  <c r="S72" i="5" a="1"/>
  <c r="S72" i="5" s="1"/>
  <c r="R72" i="5" a="1"/>
  <c r="R72" i="5" s="1"/>
  <c r="Q72" i="5" a="1"/>
  <c r="Q72" i="5" s="1"/>
  <c r="P72" i="5" a="1"/>
  <c r="P72" i="5" s="1"/>
  <c r="S71" i="5" a="1"/>
  <c r="S71" i="5" s="1"/>
  <c r="R71" i="5" a="1"/>
  <c r="R71" i="5" s="1"/>
  <c r="Q71" i="5" a="1"/>
  <c r="Q71" i="5" s="1"/>
  <c r="P71" i="5" a="1"/>
  <c r="P71" i="5" s="1"/>
  <c r="S70" i="5" a="1"/>
  <c r="S70" i="5" s="1"/>
  <c r="R70" i="5" a="1"/>
  <c r="R70" i="5" s="1"/>
  <c r="Q70" i="5" a="1"/>
  <c r="Q70" i="5" s="1"/>
  <c r="P70" i="5" a="1"/>
  <c r="P70" i="5" s="1"/>
  <c r="S25" i="5" a="1"/>
  <c r="S25" i="5" s="1"/>
  <c r="R25" i="5" a="1"/>
  <c r="R25" i="5" s="1"/>
  <c r="Q25" i="5" a="1"/>
  <c r="Q25" i="5" s="1"/>
  <c r="P25" i="5" a="1"/>
  <c r="P25" i="5" s="1"/>
  <c r="S24" i="5" a="1"/>
  <c r="S24" i="5" s="1"/>
  <c r="R24" i="5" a="1"/>
  <c r="R24" i="5" s="1"/>
  <c r="Q24" i="5" a="1"/>
  <c r="Q24" i="5" s="1"/>
  <c r="P24" i="5" a="1"/>
  <c r="P24" i="5" s="1"/>
  <c r="S23" i="5" a="1"/>
  <c r="S23" i="5" s="1"/>
  <c r="R23" i="5" a="1"/>
  <c r="R23" i="5" s="1"/>
  <c r="Q23" i="5" a="1"/>
  <c r="Q23" i="5" s="1"/>
  <c r="P23" i="5" a="1"/>
  <c r="P23" i="5" s="1"/>
  <c r="S22" i="5" a="1"/>
  <c r="S22" i="5" s="1"/>
  <c r="R22" i="5" a="1"/>
  <c r="R22" i="5" s="1"/>
  <c r="Q22" i="5" a="1"/>
  <c r="Q22" i="5" s="1"/>
  <c r="P22" i="5" a="1"/>
  <c r="P22" i="5" s="1"/>
  <c r="S17" i="5" a="1"/>
  <c r="S17" i="5" s="1"/>
  <c r="AM8" i="5" s="1"/>
  <c r="R17" i="5" a="1"/>
  <c r="R17" i="5" s="1"/>
  <c r="AL8" i="5" s="1"/>
  <c r="Q17" i="5" a="1"/>
  <c r="Q17" i="5" s="1"/>
  <c r="AK8" i="5" s="1"/>
  <c r="P17" i="5" a="1"/>
  <c r="P17" i="5" s="1"/>
  <c r="AJ8" i="5" s="1"/>
  <c r="S16" i="5" a="1"/>
  <c r="S16" i="5" s="1"/>
  <c r="AM7" i="5" s="1"/>
  <c r="R16" i="5" a="1"/>
  <c r="R16" i="5" s="1"/>
  <c r="AL7" i="5" s="1"/>
  <c r="Q16" i="5" a="1"/>
  <c r="Q16" i="5" s="1"/>
  <c r="AK7" i="5" s="1"/>
  <c r="P16" i="5" a="1"/>
  <c r="P16" i="5" s="1"/>
  <c r="AJ7" i="5" s="1"/>
  <c r="S15" i="5" a="1"/>
  <c r="S15" i="5" s="1"/>
  <c r="AM6" i="5" s="1"/>
  <c r="R15" i="5" a="1"/>
  <c r="R15" i="5" s="1"/>
  <c r="AL6" i="5" s="1"/>
  <c r="Q15" i="5" a="1"/>
  <c r="Q15" i="5" s="1"/>
  <c r="AK6" i="5" s="1"/>
  <c r="P15" i="5" a="1"/>
  <c r="P15" i="5" s="1"/>
  <c r="AJ6" i="5" s="1"/>
  <c r="S14" i="5" a="1"/>
  <c r="S14" i="5" s="1"/>
  <c r="AM5" i="5" s="1"/>
  <c r="R14" i="5" a="1"/>
  <c r="R14" i="5" s="1"/>
  <c r="AL5" i="5" s="1"/>
  <c r="Q14" i="5" a="1"/>
  <c r="Q14" i="5" s="1"/>
  <c r="AK5" i="5" s="1"/>
  <c r="P14" i="5" a="1"/>
  <c r="P14" i="5" s="1"/>
  <c r="AJ5" i="5" s="1"/>
  <c r="U75" i="5" a="1"/>
  <c r="U75" i="5" s="1"/>
  <c r="T75" i="5" a="1"/>
  <c r="T75" i="5" s="1"/>
  <c r="O75" i="5" a="1"/>
  <c r="O75" i="5" s="1"/>
  <c r="N75" i="5" a="1"/>
  <c r="N75" i="5" s="1"/>
  <c r="M75" i="5" a="1"/>
  <c r="M75" i="5" s="1"/>
  <c r="L75" i="5" a="1"/>
  <c r="L75" i="5" s="1"/>
  <c r="K75" i="5" a="1"/>
  <c r="K75" i="5" s="1"/>
  <c r="J75" i="5" a="1"/>
  <c r="J75" i="5" s="1"/>
  <c r="U74" i="5" a="1"/>
  <c r="U74" i="5" s="1"/>
  <c r="T74" i="5" a="1"/>
  <c r="T74" i="5" s="1"/>
  <c r="O74" i="5" a="1"/>
  <c r="O74" i="5" s="1"/>
  <c r="N74" i="5" a="1"/>
  <c r="N74" i="5" s="1"/>
  <c r="M74" i="5" a="1"/>
  <c r="M74" i="5" s="1"/>
  <c r="L74" i="5" a="1"/>
  <c r="L74" i="5" s="1"/>
  <c r="K74" i="5" a="1"/>
  <c r="K74" i="5" s="1"/>
  <c r="J74" i="5" a="1"/>
  <c r="J74" i="5" s="1"/>
  <c r="U73" i="5" a="1"/>
  <c r="U73" i="5" s="1"/>
  <c r="T73" i="5" a="1"/>
  <c r="T73" i="5" s="1"/>
  <c r="O73" i="5" a="1"/>
  <c r="O73" i="5" s="1"/>
  <c r="N73" i="5" a="1"/>
  <c r="N73" i="5" s="1"/>
  <c r="M73" i="5" a="1"/>
  <c r="M73" i="5" s="1"/>
  <c r="L73" i="5" a="1"/>
  <c r="L73" i="5" s="1"/>
  <c r="K73" i="5" a="1"/>
  <c r="K73" i="5" s="1"/>
  <c r="J73" i="5" a="1"/>
  <c r="J73" i="5" s="1"/>
  <c r="U72" i="5" a="1"/>
  <c r="U72" i="5" s="1"/>
  <c r="T72" i="5" a="1"/>
  <c r="T72" i="5" s="1"/>
  <c r="O72" i="5" a="1"/>
  <c r="O72" i="5" s="1"/>
  <c r="N72" i="5" a="1"/>
  <c r="N72" i="5" s="1"/>
  <c r="M72" i="5" a="1"/>
  <c r="M72" i="5" s="1"/>
  <c r="L72" i="5" a="1"/>
  <c r="L72" i="5" s="1"/>
  <c r="K72" i="5" a="1"/>
  <c r="K72" i="5" s="1"/>
  <c r="J72" i="5" a="1"/>
  <c r="J72" i="5" s="1"/>
  <c r="U71" i="5" a="1"/>
  <c r="U71" i="5" s="1"/>
  <c r="T71" i="5" a="1"/>
  <c r="T71" i="5" s="1"/>
  <c r="O71" i="5" a="1"/>
  <c r="O71" i="5" s="1"/>
  <c r="N71" i="5" a="1"/>
  <c r="N71" i="5" s="1"/>
  <c r="M71" i="5" a="1"/>
  <c r="M71" i="5" s="1"/>
  <c r="L71" i="5" a="1"/>
  <c r="L71" i="5" s="1"/>
  <c r="K71" i="5" a="1"/>
  <c r="K71" i="5" s="1"/>
  <c r="J71" i="5" a="1"/>
  <c r="J71" i="5" s="1"/>
  <c r="U70" i="5" a="1"/>
  <c r="U70" i="5" s="1"/>
  <c r="T70" i="5" a="1"/>
  <c r="T70" i="5" s="1"/>
  <c r="O70" i="5" a="1"/>
  <c r="O70" i="5" s="1"/>
  <c r="N70" i="5" a="1"/>
  <c r="N70" i="5" s="1"/>
  <c r="M70" i="5" a="1"/>
  <c r="M70" i="5" s="1"/>
  <c r="L70" i="5" a="1"/>
  <c r="L70" i="5" s="1"/>
  <c r="K70" i="5" a="1"/>
  <c r="K70" i="5" s="1"/>
  <c r="J70" i="5" a="1"/>
  <c r="J70" i="5" s="1"/>
  <c r="U25" i="5" a="1"/>
  <c r="U25" i="5" s="1"/>
  <c r="T25" i="5" a="1"/>
  <c r="T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U24" i="5" a="1"/>
  <c r="U24" i="5" s="1"/>
  <c r="T24" i="5" a="1"/>
  <c r="T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U23" i="5" a="1"/>
  <c r="U23" i="5" s="1"/>
  <c r="T23" i="5" a="1"/>
  <c r="T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U22" i="5" a="1"/>
  <c r="U22" i="5" s="1"/>
  <c r="T22" i="5" a="1"/>
  <c r="T22" i="5" s="1"/>
  <c r="O22" i="5" a="1"/>
  <c r="O22" i="5" s="1"/>
  <c r="N22" i="5" a="1"/>
  <c r="N22" i="5" s="1"/>
  <c r="M22" i="5" a="1"/>
  <c r="M22" i="5" s="1"/>
  <c r="L22" i="5" a="1"/>
  <c r="L22" i="5" s="1"/>
  <c r="K22" i="5" a="1"/>
  <c r="K22" i="5" s="1"/>
  <c r="J22" i="5" a="1"/>
  <c r="J22" i="5" s="1"/>
  <c r="U17" i="5" a="1"/>
  <c r="U17" i="5" s="1"/>
  <c r="AO8" i="5" s="1"/>
  <c r="T17" i="5" a="1"/>
  <c r="T17" i="5" s="1"/>
  <c r="AN8" i="5" s="1"/>
  <c r="O17" i="5" a="1"/>
  <c r="O17" i="5" s="1"/>
  <c r="AI8" i="5" s="1"/>
  <c r="N17" i="5" a="1"/>
  <c r="N17" i="5" s="1"/>
  <c r="AH8" i="5" s="1"/>
  <c r="M17" i="5" a="1"/>
  <c r="M17" i="5" s="1"/>
  <c r="AG8" i="5" s="1"/>
  <c r="L17" i="5" a="1"/>
  <c r="L17" i="5" s="1"/>
  <c r="AF8" i="5" s="1"/>
  <c r="K17" i="5" a="1"/>
  <c r="K17" i="5" s="1"/>
  <c r="AE8" i="5" s="1"/>
  <c r="J17" i="5" a="1"/>
  <c r="J17" i="5" s="1"/>
  <c r="AD8" i="5" s="1"/>
  <c r="U16" i="5" a="1"/>
  <c r="U16" i="5" s="1"/>
  <c r="AO7" i="5" s="1"/>
  <c r="T16" i="5" a="1"/>
  <c r="T16" i="5" s="1"/>
  <c r="AN7" i="5" s="1"/>
  <c r="O16" i="5" a="1"/>
  <c r="O16" i="5" s="1"/>
  <c r="AI7" i="5" s="1"/>
  <c r="N16" i="5" a="1"/>
  <c r="N16" i="5" s="1"/>
  <c r="AH7" i="5" s="1"/>
  <c r="M16" i="5" a="1"/>
  <c r="M16" i="5" s="1"/>
  <c r="AG7" i="5" s="1"/>
  <c r="L16" i="5" a="1"/>
  <c r="L16" i="5" s="1"/>
  <c r="AF7" i="5" s="1"/>
  <c r="K16" i="5" a="1"/>
  <c r="K16" i="5" s="1"/>
  <c r="AE7" i="5" s="1"/>
  <c r="J16" i="5" a="1"/>
  <c r="J16" i="5" s="1"/>
  <c r="AD7" i="5" s="1"/>
  <c r="U15" i="5" a="1"/>
  <c r="U15" i="5" s="1"/>
  <c r="AO6" i="5" s="1"/>
  <c r="T15" i="5" a="1"/>
  <c r="T15" i="5" s="1"/>
  <c r="AN6" i="5" s="1"/>
  <c r="O15" i="5" a="1"/>
  <c r="O15" i="5" s="1"/>
  <c r="AI6" i="5" s="1"/>
  <c r="N15" i="5" a="1"/>
  <c r="N15" i="5" s="1"/>
  <c r="AH6" i="5" s="1"/>
  <c r="M15" i="5" a="1"/>
  <c r="M15" i="5" s="1"/>
  <c r="AG6" i="5" s="1"/>
  <c r="L15" i="5" a="1"/>
  <c r="L15" i="5" s="1"/>
  <c r="AF6" i="5" s="1"/>
  <c r="K15" i="5" a="1"/>
  <c r="K15" i="5" s="1"/>
  <c r="AE6" i="5" s="1"/>
  <c r="J15" i="5" a="1"/>
  <c r="J15" i="5" s="1"/>
  <c r="AD6" i="5" s="1"/>
  <c r="U14" i="5" a="1"/>
  <c r="U14" i="5" s="1"/>
  <c r="AO5" i="5" s="1"/>
  <c r="T14" i="5" a="1"/>
  <c r="T14" i="5" s="1"/>
  <c r="AN5" i="5" s="1"/>
  <c r="O14" i="5" a="1"/>
  <c r="O14" i="5" s="1"/>
  <c r="AI5" i="5" s="1"/>
  <c r="N14" i="5" a="1"/>
  <c r="N14" i="5" s="1"/>
  <c r="AH5" i="5" s="1"/>
  <c r="M14" i="5" a="1"/>
  <c r="M14" i="5" s="1"/>
  <c r="AG5" i="5" s="1"/>
  <c r="L14" i="5" a="1"/>
  <c r="L14" i="5" s="1"/>
  <c r="AF5" i="5" s="1"/>
  <c r="K14" i="5" a="1"/>
  <c r="K14" i="5" s="1"/>
  <c r="AE5" i="5" s="1"/>
  <c r="J14" i="5" a="1"/>
  <c r="J14" i="5" s="1"/>
  <c r="AD5" i="5" s="1"/>
  <c r="Q59" i="4" a="1"/>
  <c r="Q59" i="4" s="1"/>
  <c r="P59" i="4" a="1"/>
  <c r="P59" i="4" s="1"/>
  <c r="O59" i="4" a="1"/>
  <c r="O59" i="4" s="1"/>
  <c r="N59" i="4" a="1"/>
  <c r="N59" i="4" s="1"/>
  <c r="M59" i="4" a="1"/>
  <c r="M59" i="4" s="1"/>
  <c r="L59" i="4" a="1"/>
  <c r="L59" i="4" s="1"/>
  <c r="K59" i="4" a="1"/>
  <c r="K59" i="4" s="1"/>
  <c r="J59" i="4" a="1"/>
  <c r="J59" i="4" s="1"/>
  <c r="Q58" i="4" a="1"/>
  <c r="Q58" i="4" s="1"/>
  <c r="P58" i="4" a="1"/>
  <c r="P58" i="4" s="1"/>
  <c r="O58" i="4" a="1"/>
  <c r="O58" i="4" s="1"/>
  <c r="N58" i="4" a="1"/>
  <c r="N58" i="4" s="1"/>
  <c r="M58" i="4" a="1"/>
  <c r="M58" i="4" s="1"/>
  <c r="L58" i="4" a="1"/>
  <c r="L58" i="4" s="1"/>
  <c r="K58" i="4" a="1"/>
  <c r="K58" i="4" s="1"/>
  <c r="J58" i="4" a="1"/>
  <c r="J58" i="4" s="1"/>
  <c r="Q57" i="4" a="1"/>
  <c r="Q57" i="4" s="1"/>
  <c r="P57" i="4" a="1"/>
  <c r="P57" i="4" s="1"/>
  <c r="O57" i="4" a="1"/>
  <c r="O57" i="4" s="1"/>
  <c r="N57" i="4" a="1"/>
  <c r="N57" i="4" s="1"/>
  <c r="M57" i="4" a="1"/>
  <c r="M57" i="4" s="1"/>
  <c r="L57" i="4" a="1"/>
  <c r="L57" i="4" s="1"/>
  <c r="K57" i="4" a="1"/>
  <c r="K57" i="4" s="1"/>
  <c r="J57" i="4" a="1"/>
  <c r="J57" i="4" s="1"/>
  <c r="Q56" i="4" a="1"/>
  <c r="Q56" i="4" s="1"/>
  <c r="P56" i="4" a="1"/>
  <c r="P56" i="4" s="1"/>
  <c r="O56" i="4" a="1"/>
  <c r="O56" i="4" s="1"/>
  <c r="N56" i="4" a="1"/>
  <c r="N56" i="4" s="1"/>
  <c r="M56" i="4" a="1"/>
  <c r="M56" i="4" s="1"/>
  <c r="L56" i="4" a="1"/>
  <c r="L56" i="4" s="1"/>
  <c r="K56" i="4" a="1"/>
  <c r="K56" i="4" s="1"/>
  <c r="J56" i="4" a="1"/>
  <c r="J56" i="4" s="1"/>
  <c r="Q55" i="4" a="1"/>
  <c r="Q55" i="4" s="1"/>
  <c r="P55" i="4" a="1"/>
  <c r="P55" i="4" s="1"/>
  <c r="O55" i="4" a="1"/>
  <c r="O55" i="4" s="1"/>
  <c r="N55" i="4" a="1"/>
  <c r="N55" i="4" s="1"/>
  <c r="M55" i="4" a="1"/>
  <c r="M55" i="4" s="1"/>
  <c r="L55" i="4" a="1"/>
  <c r="L55" i="4" s="1"/>
  <c r="K55" i="4" a="1"/>
  <c r="K55" i="4" s="1"/>
  <c r="J55" i="4" a="1"/>
  <c r="J55" i="4" s="1"/>
  <c r="Q54" i="4" a="1"/>
  <c r="Q54" i="4" s="1"/>
  <c r="P54" i="4" a="1"/>
  <c r="P54" i="4" s="1"/>
  <c r="O54" i="4" a="1"/>
  <c r="O54" i="4" s="1"/>
  <c r="N54" i="4" a="1"/>
  <c r="N54" i="4" s="1"/>
  <c r="M54" i="4" a="1"/>
  <c r="M54" i="4" s="1"/>
  <c r="L54" i="4" a="1"/>
  <c r="L54" i="4" s="1"/>
  <c r="K54" i="4" a="1"/>
  <c r="K54" i="4" s="1"/>
  <c r="J54" i="4" a="1"/>
  <c r="J54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Q24" i="4" a="1"/>
  <c r="Q24" i="4" s="1"/>
  <c r="P24" i="4" a="1"/>
  <c r="P24" i="4" s="1"/>
  <c r="O24" i="4" a="1"/>
  <c r="O24" i="4" s="1"/>
  <c r="N24" i="4" a="1"/>
  <c r="N24" i="4" s="1"/>
  <c r="M24" i="4" a="1"/>
  <c r="M24" i="4" s="1"/>
  <c r="L24" i="4" a="1"/>
  <c r="L24" i="4" s="1"/>
  <c r="K24" i="4" a="1"/>
  <c r="K24" i="4" s="1"/>
  <c r="J24" i="4" a="1"/>
  <c r="J24" i="4" s="1"/>
  <c r="Q23" i="4" a="1"/>
  <c r="Q23" i="4" s="1"/>
  <c r="P23" i="4" a="1"/>
  <c r="P23" i="4" s="1"/>
  <c r="O23" i="4" a="1"/>
  <c r="O23" i="4" s="1"/>
  <c r="N23" i="4" a="1"/>
  <c r="N23" i="4" s="1"/>
  <c r="M23" i="4" a="1"/>
  <c r="M23" i="4" s="1"/>
  <c r="L23" i="4" a="1"/>
  <c r="L23" i="4" s="1"/>
  <c r="K23" i="4" a="1"/>
  <c r="K23" i="4" s="1"/>
  <c r="J23" i="4" a="1"/>
  <c r="J23" i="4" s="1"/>
  <c r="Q22" i="4" a="1"/>
  <c r="Q22" i="4" s="1"/>
  <c r="P22" i="4" a="1"/>
  <c r="P22" i="4" s="1"/>
  <c r="O22" i="4" a="1"/>
  <c r="O22" i="4" s="1"/>
  <c r="N22" i="4" a="1"/>
  <c r="N22" i="4" s="1"/>
  <c r="M22" i="4" a="1"/>
  <c r="M22" i="4" s="1"/>
  <c r="L22" i="4" a="1"/>
  <c r="L22" i="4" s="1"/>
  <c r="K22" i="4" a="1"/>
  <c r="K22" i="4" s="1"/>
  <c r="J22" i="4" a="1"/>
  <c r="J22" i="4" s="1"/>
  <c r="Q17" i="4" a="1"/>
  <c r="Q17" i="4" s="1"/>
  <c r="AG8" i="4" s="1"/>
  <c r="P17" i="4" a="1"/>
  <c r="P17" i="4" s="1"/>
  <c r="AF8" i="4" s="1"/>
  <c r="O17" i="4" a="1"/>
  <c r="O17" i="4" s="1"/>
  <c r="AE8" i="4" s="1"/>
  <c r="N17" i="4" a="1"/>
  <c r="N17" i="4" s="1"/>
  <c r="AD8" i="4" s="1"/>
  <c r="M17" i="4" a="1"/>
  <c r="M17" i="4" s="1"/>
  <c r="AC8" i="4" s="1"/>
  <c r="L17" i="4" a="1"/>
  <c r="L17" i="4" s="1"/>
  <c r="AB8" i="4" s="1"/>
  <c r="K17" i="4" a="1"/>
  <c r="K17" i="4" s="1"/>
  <c r="AA8" i="4" s="1"/>
  <c r="J17" i="4" a="1"/>
  <c r="J17" i="4" s="1"/>
  <c r="Z8" i="4" s="1"/>
  <c r="Q16" i="4" a="1"/>
  <c r="Q16" i="4" s="1"/>
  <c r="AG7" i="4" s="1"/>
  <c r="P16" i="4" a="1"/>
  <c r="P16" i="4" s="1"/>
  <c r="AF7" i="4" s="1"/>
  <c r="O16" i="4" a="1"/>
  <c r="O16" i="4" s="1"/>
  <c r="AE7" i="4" s="1"/>
  <c r="N16" i="4" a="1"/>
  <c r="N16" i="4" s="1"/>
  <c r="AD7" i="4" s="1"/>
  <c r="M16" i="4" a="1"/>
  <c r="M16" i="4" s="1"/>
  <c r="AC7" i="4" s="1"/>
  <c r="L16" i="4" a="1"/>
  <c r="L16" i="4" s="1"/>
  <c r="AB7" i="4" s="1"/>
  <c r="K16" i="4" a="1"/>
  <c r="K16" i="4" s="1"/>
  <c r="AA7" i="4" s="1"/>
  <c r="J16" i="4" a="1"/>
  <c r="J16" i="4" s="1"/>
  <c r="Z7" i="4" s="1"/>
  <c r="Q15" i="4" a="1"/>
  <c r="Q15" i="4" s="1"/>
  <c r="AG6" i="4" s="1"/>
  <c r="P15" i="4" a="1"/>
  <c r="P15" i="4" s="1"/>
  <c r="AF6" i="4" s="1"/>
  <c r="O15" i="4" a="1"/>
  <c r="O15" i="4" s="1"/>
  <c r="AE6" i="4" s="1"/>
  <c r="N15" i="4" a="1"/>
  <c r="N15" i="4" s="1"/>
  <c r="AD6" i="4" s="1"/>
  <c r="M15" i="4" a="1"/>
  <c r="M15" i="4" s="1"/>
  <c r="AC6" i="4" s="1"/>
  <c r="L15" i="4" a="1"/>
  <c r="L15" i="4" s="1"/>
  <c r="AB6" i="4" s="1"/>
  <c r="K15" i="4" a="1"/>
  <c r="K15" i="4" s="1"/>
  <c r="AA6" i="4" s="1"/>
  <c r="J15" i="4" a="1"/>
  <c r="J15" i="4" s="1"/>
  <c r="Z6" i="4" s="1"/>
  <c r="Q14" i="4" a="1"/>
  <c r="Q14" i="4" s="1"/>
  <c r="AG5" i="4" s="1"/>
  <c r="P14" i="4" a="1"/>
  <c r="P14" i="4" s="1"/>
  <c r="O14" i="4" a="1"/>
  <c r="O14" i="4" s="1"/>
  <c r="AE5" i="4" s="1"/>
  <c r="N14" i="4" a="1"/>
  <c r="N14" i="4" s="1"/>
  <c r="AD5" i="4" s="1"/>
  <c r="M14" i="4" a="1"/>
  <c r="M14" i="4" s="1"/>
  <c r="AC5" i="4" s="1"/>
  <c r="L14" i="4" a="1"/>
  <c r="L14" i="4" s="1"/>
  <c r="AB5" i="4" s="1"/>
  <c r="K14" i="4" a="1"/>
  <c r="K14" i="4" s="1"/>
  <c r="AA5" i="4" s="1"/>
  <c r="J14" i="4" a="1"/>
  <c r="J14" i="4" s="1"/>
  <c r="Z5" i="4" s="1"/>
  <c r="AF5" i="4"/>
  <c r="Y11" i="5" l="1" a="1"/>
  <c r="U11" i="4" a="1"/>
  <c r="U11" i="4" s="1"/>
  <c r="AD15" i="4" a="1"/>
  <c r="AD15" i="4" s="1"/>
  <c r="AD25" i="4" s="1"/>
  <c r="AD34" i="4" s="1"/>
  <c r="AF13" i="4" a="1"/>
  <c r="AF13" i="4" s="1"/>
  <c r="AF23" i="4" s="1"/>
  <c r="AF32" i="4" s="1"/>
  <c r="AA13" i="4" a="1"/>
  <c r="AA13" i="4" s="1"/>
  <c r="AA23" i="4" s="1"/>
  <c r="AA32" i="4" s="1"/>
  <c r="AD17" i="4" a="1"/>
  <c r="AD17" i="4" s="1"/>
  <c r="AD27" i="4" s="1"/>
  <c r="AD36" i="4" s="1"/>
  <c r="AC15" i="4" a="1"/>
  <c r="AC15" i="4" s="1"/>
  <c r="AC25" i="4" s="1"/>
  <c r="AC34" i="4" s="1"/>
  <c r="AE17" i="4" a="1"/>
  <c r="AE17" i="4" s="1"/>
  <c r="AE27" i="4" s="1"/>
  <c r="AE36" i="4" s="1"/>
  <c r="AD16" i="4" a="1"/>
  <c r="AD16" i="4" s="1"/>
  <c r="AD26" i="4" s="1"/>
  <c r="AD35" i="4" s="1"/>
  <c r="AB15" i="4" a="1"/>
  <c r="AB15" i="4" s="1"/>
  <c r="AB25" i="4" s="1"/>
  <c r="AB34" i="4" s="1"/>
  <c r="AF14" i="4" a="1"/>
  <c r="AF14" i="4" s="1"/>
  <c r="AF24" i="4" s="1"/>
  <c r="AF33" i="4" s="1"/>
  <c r="AA14" i="4" a="1"/>
  <c r="AA14" i="4" s="1"/>
  <c r="AA24" i="4" s="1"/>
  <c r="AA33" i="4" s="1"/>
  <c r="AE13" i="4" a="1"/>
  <c r="AE13" i="4" s="1"/>
  <c r="AE23" i="4" s="1"/>
  <c r="AE32" i="4" s="1"/>
  <c r="AF12" i="4" a="1"/>
  <c r="AF12" i="4" s="1"/>
  <c r="AF22" i="4" s="1"/>
  <c r="AF31" i="4" s="1"/>
  <c r="AA12" i="4" a="1"/>
  <c r="AA12" i="4" s="1"/>
  <c r="AA22" i="4" s="1"/>
  <c r="AA31" i="4" s="1"/>
  <c r="AC16" i="4" a="1"/>
  <c r="AC16" i="4" s="1"/>
  <c r="AC26" i="4" s="1"/>
  <c r="AC35" i="4" s="1"/>
  <c r="AB18" i="4" a="1"/>
  <c r="AB18" i="4" s="1"/>
  <c r="AB28" i="4" s="1"/>
  <c r="AB37" i="4" s="1"/>
  <c r="AF18" i="4" a="1"/>
  <c r="AF18" i="4" s="1"/>
  <c r="AF28" i="4" s="1"/>
  <c r="AF37" i="4" s="1"/>
  <c r="AA18" i="4" a="1"/>
  <c r="AA18" i="4" s="1"/>
  <c r="AA28" i="4" s="1"/>
  <c r="AA37" i="4" s="1"/>
  <c r="AB17" i="4" a="1"/>
  <c r="AB17" i="4" s="1"/>
  <c r="AB27" i="4" s="1"/>
  <c r="AB36" i="4" s="1"/>
  <c r="AA16" i="4" a="1"/>
  <c r="AA16" i="4" s="1"/>
  <c r="AA26" i="4" s="1"/>
  <c r="AA35" i="4" s="1"/>
  <c r="AE15" i="4" a="1"/>
  <c r="AE15" i="4" s="1"/>
  <c r="AE25" i="4" s="1"/>
  <c r="AE34" i="4" s="1"/>
  <c r="Z15" i="4" a="1"/>
  <c r="Z15" i="4" s="1"/>
  <c r="Z25" i="4" s="1"/>
  <c r="Z34" i="4" s="1"/>
  <c r="AD14" i="4" a="1"/>
  <c r="AD14" i="4" s="1"/>
  <c r="AD24" i="4" s="1"/>
  <c r="AD33" i="4" s="1"/>
  <c r="AG17" i="4" a="1"/>
  <c r="AG17" i="4" s="1"/>
  <c r="AG27" i="4" s="1"/>
  <c r="AG36" i="4" s="1"/>
  <c r="AB13" i="4" a="1"/>
  <c r="AB13" i="4" s="1"/>
  <c r="AB23" i="4" s="1"/>
  <c r="AB32" i="4" s="1"/>
  <c r="AB16" i="4" a="1"/>
  <c r="AB16" i="4" s="1"/>
  <c r="AB26" i="4" s="1"/>
  <c r="AB35" i="4" s="1"/>
  <c r="AC14" i="4" a="1"/>
  <c r="AC14" i="4" s="1"/>
  <c r="AC24" i="4" s="1"/>
  <c r="AC33" i="4" s="1"/>
  <c r="AG13" i="4" a="1"/>
  <c r="AG13" i="4" s="1"/>
  <c r="AG23" i="4" s="1"/>
  <c r="AG32" i="4" s="1"/>
  <c r="AC13" i="4" a="1"/>
  <c r="AC13" i="4" s="1"/>
  <c r="AC23" i="4" s="1"/>
  <c r="AC32" i="4" s="1"/>
  <c r="AG16" i="4" a="1"/>
  <c r="AG16" i="4" s="1"/>
  <c r="AG26" i="4" s="1"/>
  <c r="AG35" i="4" s="1"/>
  <c r="AF15" i="4" a="1"/>
  <c r="AF15" i="4" s="1"/>
  <c r="AF25" i="4" s="1"/>
  <c r="AF34" i="4" s="1"/>
  <c r="Z14" i="4" a="1"/>
  <c r="Z14" i="4" s="1"/>
  <c r="Z24" i="4" s="1"/>
  <c r="Z33" i="4" s="1"/>
  <c r="AD13" i="4" a="1"/>
  <c r="AD13" i="4" s="1"/>
  <c r="AD23" i="4" s="1"/>
  <c r="AD32" i="4" s="1"/>
  <c r="AE12" i="4" a="1"/>
  <c r="AE12" i="4" s="1"/>
  <c r="AE22" i="4" s="1"/>
  <c r="AE31" i="4" s="1"/>
  <c r="AD12" i="4" a="1"/>
  <c r="AD12" i="4" s="1"/>
  <c r="AD22" i="4" s="1"/>
  <c r="AD31" i="4" s="1"/>
  <c r="AC12" i="4" a="1"/>
  <c r="AC12" i="4" s="1"/>
  <c r="AC22" i="4" s="1"/>
  <c r="AC31" i="4" s="1"/>
  <c r="AE14" i="4" a="1"/>
  <c r="AE14" i="4" s="1"/>
  <c r="AE24" i="4" s="1"/>
  <c r="AE33" i="4" s="1"/>
  <c r="AA15" i="4" a="1"/>
  <c r="AA15" i="4" s="1"/>
  <c r="AA25" i="4" s="1"/>
  <c r="AA34" i="4" s="1"/>
  <c r="AC17" i="4" a="1"/>
  <c r="AC17" i="4" s="1"/>
  <c r="AC27" i="4" s="1"/>
  <c r="AC36" i="4" s="1"/>
  <c r="AG18" i="4" a="1"/>
  <c r="AG18" i="4" s="1"/>
  <c r="AG28" i="4" s="1"/>
  <c r="AG37" i="4" s="1"/>
  <c r="Z12" i="4" a="1"/>
  <c r="Z12" i="4" s="1"/>
  <c r="Z22" i="4" s="1"/>
  <c r="Z31" i="4" s="1"/>
  <c r="M39" i="1" a="1"/>
  <c r="M39" i="1" s="1"/>
  <c r="L39" i="1" a="1"/>
  <c r="L39" i="1" s="1"/>
  <c r="K39" i="1" a="1"/>
  <c r="K39" i="1" s="1"/>
  <c r="J39" i="1" a="1"/>
  <c r="J39" i="1" s="1"/>
  <c r="M38" i="1" a="1"/>
  <c r="M38" i="1" s="1"/>
  <c r="L38" i="1" a="1"/>
  <c r="L38" i="1" s="1"/>
  <c r="K38" i="1" a="1"/>
  <c r="K38" i="1" s="1"/>
  <c r="J38" i="1" a="1"/>
  <c r="J38" i="1" s="1"/>
  <c r="M37" i="1" a="1"/>
  <c r="M37" i="1" s="1"/>
  <c r="L37" i="1" a="1"/>
  <c r="L37" i="1" s="1"/>
  <c r="K37" i="1" a="1"/>
  <c r="K37" i="1" s="1"/>
  <c r="J37" i="1" a="1"/>
  <c r="J37" i="1" s="1"/>
  <c r="M21" i="1" a="1"/>
  <c r="M21" i="1" s="1"/>
  <c r="S13" i="1" s="1"/>
  <c r="L21" i="1" a="1"/>
  <c r="L21" i="1" s="1"/>
  <c r="S12" i="1" s="1"/>
  <c r="K21" i="1" a="1"/>
  <c r="K21" i="1" s="1"/>
  <c r="S11" i="1" s="1"/>
  <c r="J21" i="1" a="1"/>
  <c r="J21" i="1" s="1"/>
  <c r="S10" i="1" s="1"/>
  <c r="M20" i="1" a="1"/>
  <c r="M20" i="1" s="1"/>
  <c r="R13" i="1" s="1"/>
  <c r="L20" i="1" a="1"/>
  <c r="L20" i="1" s="1"/>
  <c r="R12" i="1" s="1"/>
  <c r="K20" i="1" a="1"/>
  <c r="K20" i="1" s="1"/>
  <c r="R11" i="1" s="1"/>
  <c r="J20" i="1" a="1"/>
  <c r="J20" i="1" s="1"/>
  <c r="R10" i="1" s="1"/>
  <c r="M19" i="1" a="1"/>
  <c r="M19" i="1" s="1"/>
  <c r="Q13" i="1" s="1"/>
  <c r="L19" i="1" a="1"/>
  <c r="L19" i="1" s="1"/>
  <c r="Q12" i="1" s="1"/>
  <c r="K19" i="1" a="1"/>
  <c r="K19" i="1" s="1"/>
  <c r="Q11" i="1" s="1"/>
  <c r="J19" i="1" a="1"/>
  <c r="J19" i="1" s="1"/>
  <c r="Q10" i="1" s="1"/>
  <c r="M16" i="1" a="1"/>
  <c r="M16" i="1" s="1"/>
  <c r="X7" i="1" s="1"/>
  <c r="L16" i="1" a="1"/>
  <c r="L16" i="1" s="1"/>
  <c r="W7" i="1" s="1"/>
  <c r="K16" i="1" a="1"/>
  <c r="K16" i="1" s="1"/>
  <c r="V7" i="1" s="1"/>
  <c r="J16" i="1" a="1"/>
  <c r="J16" i="1" s="1"/>
  <c r="U7" i="1" s="1"/>
  <c r="M15" i="1" a="1"/>
  <c r="M15" i="1" s="1"/>
  <c r="X6" i="1" s="1"/>
  <c r="L15" i="1" a="1"/>
  <c r="L15" i="1" s="1"/>
  <c r="W6" i="1" s="1"/>
  <c r="K15" i="1" a="1"/>
  <c r="K15" i="1" s="1"/>
  <c r="V6" i="1" s="1"/>
  <c r="J15" i="1" a="1"/>
  <c r="J15" i="1" s="1"/>
  <c r="U6" i="1" s="1"/>
  <c r="M14" i="1" a="1"/>
  <c r="M14" i="1" s="1"/>
  <c r="X5" i="1" s="1"/>
  <c r="L14" i="1" a="1"/>
  <c r="L14" i="1" s="1"/>
  <c r="W5" i="1" s="1"/>
  <c r="K14" i="1" a="1"/>
  <c r="K14" i="1" s="1"/>
  <c r="V5" i="1" s="1"/>
  <c r="J14" i="1" a="1"/>
  <c r="J14" i="1" s="1"/>
  <c r="U5" i="1" s="1"/>
  <c r="Y11" i="5" l="1"/>
  <c r="AO22" i="5" a="1"/>
  <c r="AO22" i="5" s="1"/>
  <c r="AO36" i="5" s="1"/>
  <c r="AO49" i="5" s="1"/>
  <c r="AN21" i="5" a="1"/>
  <c r="AN21" i="5" s="1"/>
  <c r="AN35" i="5" s="1"/>
  <c r="AN48" i="5" s="1"/>
  <c r="AH21" i="5" a="1"/>
  <c r="AH21" i="5" s="1"/>
  <c r="AH35" i="5" s="1"/>
  <c r="AH48" i="5" s="1"/>
  <c r="AM20" i="5" a="1"/>
  <c r="AM20" i="5" s="1"/>
  <c r="AM34" i="5" s="1"/>
  <c r="AM47" i="5" s="1"/>
  <c r="AG20" i="5" a="1"/>
  <c r="AG20" i="5" s="1"/>
  <c r="AG34" i="5" s="1"/>
  <c r="AG47" i="5" s="1"/>
  <c r="AF19" i="5" a="1"/>
  <c r="AF19" i="5" s="1"/>
  <c r="AF33" i="5" s="1"/>
  <c r="AF46" i="5" s="1"/>
  <c r="AL18" i="5" a="1"/>
  <c r="AL18" i="5" s="1"/>
  <c r="AL32" i="5" s="1"/>
  <c r="AL45" i="5" s="1"/>
  <c r="AE18" i="5" a="1"/>
  <c r="AE18" i="5" s="1"/>
  <c r="AE32" i="5" s="1"/>
  <c r="AE45" i="5" s="1"/>
  <c r="AK17" i="5" a="1"/>
  <c r="AK17" i="5" s="1"/>
  <c r="AK31" i="5" s="1"/>
  <c r="AK44" i="5" s="1"/>
  <c r="AJ16" i="5" a="1"/>
  <c r="AJ16" i="5" s="1"/>
  <c r="AJ30" i="5" s="1"/>
  <c r="AJ43" i="5" s="1"/>
  <c r="AD16" i="5" a="1"/>
  <c r="AD16" i="5" s="1"/>
  <c r="AD30" i="5" s="1"/>
  <c r="AD43" i="5" s="1"/>
  <c r="AI15" i="5" a="1"/>
  <c r="AI15" i="5" s="1"/>
  <c r="AI29" i="5" s="1"/>
  <c r="AI42" i="5" s="1"/>
  <c r="AO14" i="5" a="1"/>
  <c r="AO14" i="5" s="1"/>
  <c r="AO28" i="5" s="1"/>
  <c r="AO41" i="5" s="1"/>
  <c r="AN13" i="5" a="1"/>
  <c r="AN13" i="5" s="1"/>
  <c r="AN27" i="5" s="1"/>
  <c r="AN40" i="5" s="1"/>
  <c r="AH13" i="5" a="1"/>
  <c r="AH13" i="5" s="1"/>
  <c r="AH27" i="5" s="1"/>
  <c r="AH40" i="5" s="1"/>
  <c r="AM12" i="5" a="1"/>
  <c r="AM12" i="5" s="1"/>
  <c r="AM26" i="5" s="1"/>
  <c r="AM39" i="5" s="1"/>
  <c r="AG12" i="5" a="1"/>
  <c r="AG12" i="5" s="1"/>
  <c r="AG26" i="5" s="1"/>
  <c r="AG39" i="5" s="1"/>
  <c r="AK20" i="5" a="1"/>
  <c r="AK20" i="5" s="1"/>
  <c r="AK34" i="5" s="1"/>
  <c r="AK47" i="5" s="1"/>
  <c r="AO17" i="5" a="1"/>
  <c r="AO17" i="5" s="1"/>
  <c r="AO31" i="5" s="1"/>
  <c r="AO44" i="5" s="1"/>
  <c r="AM15" i="5" a="1"/>
  <c r="AM15" i="5" s="1"/>
  <c r="AM29" i="5" s="1"/>
  <c r="AM42" i="5" s="1"/>
  <c r="AE13" i="5" a="1"/>
  <c r="AE13" i="5" s="1"/>
  <c r="AE27" i="5" s="1"/>
  <c r="AE40" i="5" s="1"/>
  <c r="AO19" i="5" a="1"/>
  <c r="AO19" i="5" s="1"/>
  <c r="AO33" i="5" s="1"/>
  <c r="AO46" i="5" s="1"/>
  <c r="AH18" i="5" a="1"/>
  <c r="AH18" i="5" s="1"/>
  <c r="AF16" i="5" a="1"/>
  <c r="AF16" i="5" s="1"/>
  <c r="AF30" i="5" s="1"/>
  <c r="AF43" i="5" s="1"/>
  <c r="AJ13" i="5" a="1"/>
  <c r="AJ13" i="5" s="1"/>
  <c r="AJ27" i="5" s="1"/>
  <c r="AJ40" i="5" s="1"/>
  <c r="AN22" i="5" a="1"/>
  <c r="AN22" i="5" s="1"/>
  <c r="AN36" i="5" s="1"/>
  <c r="AN49" i="5" s="1"/>
  <c r="AH22" i="5" a="1"/>
  <c r="AH22" i="5" s="1"/>
  <c r="AH36" i="5" s="1"/>
  <c r="AH49" i="5" s="1"/>
  <c r="AM21" i="5" a="1"/>
  <c r="AM21" i="5" s="1"/>
  <c r="AM35" i="5" s="1"/>
  <c r="AM48" i="5" s="1"/>
  <c r="AG21" i="5" a="1"/>
  <c r="AG21" i="5" s="1"/>
  <c r="AG35" i="5" s="1"/>
  <c r="AG48" i="5" s="1"/>
  <c r="AF20" i="5" a="1"/>
  <c r="AF20" i="5" s="1"/>
  <c r="AF34" i="5" s="1"/>
  <c r="AF47" i="5" s="1"/>
  <c r="AL19" i="5" a="1"/>
  <c r="AL19" i="5" s="1"/>
  <c r="AL33" i="5" s="1"/>
  <c r="AL46" i="5" s="1"/>
  <c r="AE19" i="5" a="1"/>
  <c r="AE19" i="5" s="1"/>
  <c r="AE33" i="5" s="1"/>
  <c r="AE46" i="5" s="1"/>
  <c r="AK18" i="5" a="1"/>
  <c r="AK18" i="5" s="1"/>
  <c r="AK32" i="5" s="1"/>
  <c r="AK45" i="5" s="1"/>
  <c r="AJ17" i="5" a="1"/>
  <c r="AJ17" i="5" s="1"/>
  <c r="AJ31" i="5" s="1"/>
  <c r="AJ44" i="5" s="1"/>
  <c r="AD17" i="5" a="1"/>
  <c r="AD17" i="5" s="1"/>
  <c r="AD31" i="5" s="1"/>
  <c r="AD44" i="5" s="1"/>
  <c r="AI16" i="5" a="1"/>
  <c r="AI16" i="5" s="1"/>
  <c r="AI30" i="5" s="1"/>
  <c r="AI43" i="5" s="1"/>
  <c r="AO15" i="5" a="1"/>
  <c r="AO15" i="5" s="1"/>
  <c r="AO29" i="5" s="1"/>
  <c r="AO42" i="5" s="1"/>
  <c r="AN14" i="5" a="1"/>
  <c r="AN14" i="5" s="1"/>
  <c r="AN28" i="5" s="1"/>
  <c r="AN41" i="5" s="1"/>
  <c r="AH14" i="5" a="1"/>
  <c r="AH14" i="5" s="1"/>
  <c r="AM13" i="5" a="1"/>
  <c r="AM13" i="5" s="1"/>
  <c r="AM27" i="5" s="1"/>
  <c r="AM40" i="5" s="1"/>
  <c r="AG13" i="5" a="1"/>
  <c r="AG13" i="5" s="1"/>
  <c r="AG27" i="5" s="1"/>
  <c r="AG40" i="5" s="1"/>
  <c r="AF12" i="5" a="1"/>
  <c r="AF12" i="5" s="1"/>
  <c r="AF26" i="5" s="1"/>
  <c r="AF39" i="5" s="1"/>
  <c r="AD19" i="5" a="1"/>
  <c r="AD19" i="5" s="1"/>
  <c r="AD33" i="5" s="1"/>
  <c r="AD46" i="5" s="1"/>
  <c r="AN16" i="5" a="1"/>
  <c r="AN16" i="5" s="1"/>
  <c r="AN30" i="5" s="1"/>
  <c r="AN43" i="5" s="1"/>
  <c r="AG15" i="5" a="1"/>
  <c r="AG15" i="5" s="1"/>
  <c r="AG29" i="5" s="1"/>
  <c r="AG42" i="5" s="1"/>
  <c r="AL13" i="5" a="1"/>
  <c r="AL13" i="5" s="1"/>
  <c r="AL27" i="5" s="1"/>
  <c r="AL40" i="5" s="1"/>
  <c r="AK12" i="5" a="1"/>
  <c r="AK12" i="5" s="1"/>
  <c r="AI20" i="5" a="1"/>
  <c r="AI20" i="5" s="1"/>
  <c r="AI34" i="5" s="1"/>
  <c r="AI47" i="5" s="1"/>
  <c r="AG17" i="5" a="1"/>
  <c r="AG17" i="5" s="1"/>
  <c r="AG31" i="5" s="1"/>
  <c r="AG44" i="5" s="1"/>
  <c r="AK14" i="5" a="1"/>
  <c r="AK14" i="5" s="1"/>
  <c r="AK28" i="5" s="1"/>
  <c r="AK41" i="5" s="1"/>
  <c r="AI12" i="5" a="1"/>
  <c r="AI12" i="5" s="1"/>
  <c r="AM22" i="5" a="1"/>
  <c r="AM22" i="5" s="1"/>
  <c r="AM36" i="5" s="1"/>
  <c r="AM49" i="5" s="1"/>
  <c r="AG22" i="5" a="1"/>
  <c r="AG22" i="5" s="1"/>
  <c r="AG36" i="5" s="1"/>
  <c r="AG49" i="5" s="1"/>
  <c r="AF21" i="5" a="1"/>
  <c r="AF21" i="5" s="1"/>
  <c r="AF35" i="5" s="1"/>
  <c r="AF48" i="5" s="1"/>
  <c r="AL20" i="5" a="1"/>
  <c r="AL20" i="5" s="1"/>
  <c r="AL34" i="5" s="1"/>
  <c r="AL47" i="5" s="1"/>
  <c r="AE20" i="5" a="1"/>
  <c r="AE20" i="5" s="1"/>
  <c r="AE34" i="5" s="1"/>
  <c r="AE47" i="5" s="1"/>
  <c r="AK19" i="5" a="1"/>
  <c r="AK19" i="5" s="1"/>
  <c r="AK33" i="5" s="1"/>
  <c r="AK46" i="5" s="1"/>
  <c r="AJ18" i="5" a="1"/>
  <c r="AJ18" i="5" s="1"/>
  <c r="AJ32" i="5" s="1"/>
  <c r="AJ45" i="5" s="1"/>
  <c r="AD18" i="5" a="1"/>
  <c r="AD18" i="5" s="1"/>
  <c r="AD32" i="5" s="1"/>
  <c r="AD45" i="5" s="1"/>
  <c r="AI17" i="5" a="1"/>
  <c r="AI17" i="5" s="1"/>
  <c r="AO16" i="5" a="1"/>
  <c r="AO16" i="5" s="1"/>
  <c r="AO30" i="5" s="1"/>
  <c r="AO43" i="5" s="1"/>
  <c r="AN15" i="5" a="1"/>
  <c r="AN15" i="5" s="1"/>
  <c r="AN29" i="5" s="1"/>
  <c r="AN42" i="5" s="1"/>
  <c r="AH15" i="5" a="1"/>
  <c r="AH15" i="5" s="1"/>
  <c r="AM14" i="5" a="1"/>
  <c r="AM14" i="5" s="1"/>
  <c r="AM28" i="5" s="1"/>
  <c r="AM41" i="5" s="1"/>
  <c r="AG14" i="5" a="1"/>
  <c r="AG14" i="5" s="1"/>
  <c r="AG28" i="5" s="1"/>
  <c r="AG41" i="5" s="1"/>
  <c r="AF13" i="5" a="1"/>
  <c r="AF13" i="5" s="1"/>
  <c r="AF27" i="5" s="1"/>
  <c r="AF40" i="5" s="1"/>
  <c r="AL12" i="5" a="1"/>
  <c r="AL12" i="5" s="1"/>
  <c r="AL26" i="5" s="1"/>
  <c r="AL39" i="5" s="1"/>
  <c r="AE12" i="5" a="1"/>
  <c r="AE12" i="5" s="1"/>
  <c r="AH16" i="5" a="1"/>
  <c r="AH16" i="5" s="1"/>
  <c r="AF14" i="5" a="1"/>
  <c r="AF14" i="5" s="1"/>
  <c r="AF28" i="5" s="1"/>
  <c r="AF41" i="5" s="1"/>
  <c r="AD12" i="5" a="1"/>
  <c r="AD12" i="5" s="1"/>
  <c r="AN18" i="5" a="1"/>
  <c r="AN18" i="5" s="1"/>
  <c r="AN32" i="5" s="1"/>
  <c r="AN45" i="5" s="1"/>
  <c r="AM17" i="5" a="1"/>
  <c r="AM17" i="5" s="1"/>
  <c r="AM31" i="5" s="1"/>
  <c r="AM44" i="5" s="1"/>
  <c r="AE15" i="5" a="1"/>
  <c r="AE15" i="5" s="1"/>
  <c r="AE29" i="5" s="1"/>
  <c r="AE42" i="5" s="1"/>
  <c r="AD13" i="5" a="1"/>
  <c r="AD13" i="5" s="1"/>
  <c r="AD27" i="5" s="1"/>
  <c r="AD40" i="5" s="1"/>
  <c r="AF22" i="5" a="1"/>
  <c r="AF22" i="5" s="1"/>
  <c r="AF36" i="5" s="1"/>
  <c r="AF49" i="5" s="1"/>
  <c r="AL21" i="5" a="1"/>
  <c r="AL21" i="5" s="1"/>
  <c r="AL35" i="5" s="1"/>
  <c r="AL48" i="5" s="1"/>
  <c r="AE21" i="5" a="1"/>
  <c r="AE21" i="5" s="1"/>
  <c r="AE35" i="5" s="1"/>
  <c r="AE48" i="5" s="1"/>
  <c r="AJ19" i="5" a="1"/>
  <c r="AJ19" i="5" s="1"/>
  <c r="AJ33" i="5" s="1"/>
  <c r="AJ46" i="5" s="1"/>
  <c r="AI18" i="5" a="1"/>
  <c r="AI18" i="5" s="1"/>
  <c r="AI32" i="5" s="1"/>
  <c r="AI45" i="5" s="1"/>
  <c r="AL22" i="5" a="1"/>
  <c r="AL22" i="5" s="1"/>
  <c r="AL36" i="5" s="1"/>
  <c r="AL49" i="5" s="1"/>
  <c r="AE22" i="5" a="1"/>
  <c r="AE22" i="5" s="1"/>
  <c r="AE36" i="5" s="1"/>
  <c r="AE49" i="5" s="1"/>
  <c r="AK21" i="5" a="1"/>
  <c r="AK21" i="5" s="1"/>
  <c r="AK35" i="5" s="1"/>
  <c r="AK48" i="5" s="1"/>
  <c r="AJ20" i="5" a="1"/>
  <c r="AJ20" i="5" s="1"/>
  <c r="AJ34" i="5" s="1"/>
  <c r="AJ47" i="5" s="1"/>
  <c r="AD20" i="5" a="1"/>
  <c r="AD20" i="5" s="1"/>
  <c r="AD34" i="5" s="1"/>
  <c r="AD47" i="5" s="1"/>
  <c r="AI19" i="5" a="1"/>
  <c r="AI19" i="5" s="1"/>
  <c r="AI33" i="5" s="1"/>
  <c r="AI46" i="5" s="1"/>
  <c r="AO18" i="5" a="1"/>
  <c r="AO18" i="5" s="1"/>
  <c r="AO32" i="5" s="1"/>
  <c r="AO45" i="5" s="1"/>
  <c r="AN17" i="5" a="1"/>
  <c r="AN17" i="5" s="1"/>
  <c r="AN31" i="5" s="1"/>
  <c r="AN44" i="5" s="1"/>
  <c r="AH17" i="5" a="1"/>
  <c r="AH17" i="5" s="1"/>
  <c r="AH31" i="5" s="1"/>
  <c r="AH44" i="5" s="1"/>
  <c r="AM16" i="5" a="1"/>
  <c r="AM16" i="5" s="1"/>
  <c r="AM30" i="5" s="1"/>
  <c r="AM43" i="5" s="1"/>
  <c r="AG16" i="5" a="1"/>
  <c r="AG16" i="5" s="1"/>
  <c r="AF15" i="5" a="1"/>
  <c r="AF15" i="5" s="1"/>
  <c r="AF29" i="5" s="1"/>
  <c r="AF42" i="5" s="1"/>
  <c r="AL14" i="5" a="1"/>
  <c r="AL14" i="5" s="1"/>
  <c r="AL28" i="5" s="1"/>
  <c r="AL41" i="5" s="1"/>
  <c r="AE14" i="5" a="1"/>
  <c r="AE14" i="5" s="1"/>
  <c r="AE28" i="5" s="1"/>
  <c r="AE41" i="5" s="1"/>
  <c r="AK13" i="5" a="1"/>
  <c r="AK13" i="5" s="1"/>
  <c r="AK22" i="5" a="1"/>
  <c r="AK22" i="5" s="1"/>
  <c r="AK36" i="5" s="1"/>
  <c r="AK49" i="5" s="1"/>
  <c r="AJ21" i="5" a="1"/>
  <c r="AJ21" i="5" s="1"/>
  <c r="AJ35" i="5" s="1"/>
  <c r="AJ48" i="5" s="1"/>
  <c r="AJ22" i="5" a="1"/>
  <c r="AJ22" i="5" s="1"/>
  <c r="AJ36" i="5" s="1"/>
  <c r="AJ49" i="5" s="1"/>
  <c r="AD22" i="5" a="1"/>
  <c r="AD22" i="5" s="1"/>
  <c r="AD36" i="5" s="1"/>
  <c r="AD49" i="5" s="1"/>
  <c r="AI21" i="5" a="1"/>
  <c r="AI21" i="5" s="1"/>
  <c r="AI35" i="5" s="1"/>
  <c r="AI48" i="5" s="1"/>
  <c r="AO20" i="5" a="1"/>
  <c r="AO20" i="5" s="1"/>
  <c r="AO34" i="5" s="1"/>
  <c r="AO47" i="5" s="1"/>
  <c r="AN19" i="5" a="1"/>
  <c r="AN19" i="5" s="1"/>
  <c r="AN33" i="5" s="1"/>
  <c r="AN46" i="5" s="1"/>
  <c r="AH19" i="5" a="1"/>
  <c r="AH19" i="5" s="1"/>
  <c r="AH33" i="5" s="1"/>
  <c r="AH46" i="5" s="1"/>
  <c r="AM18" i="5" a="1"/>
  <c r="AM18" i="5" s="1"/>
  <c r="AM32" i="5" s="1"/>
  <c r="AM45" i="5" s="1"/>
  <c r="AG18" i="5" a="1"/>
  <c r="AG18" i="5" s="1"/>
  <c r="AG32" i="5" s="1"/>
  <c r="AG45" i="5" s="1"/>
  <c r="AF17" i="5" a="1"/>
  <c r="AF17" i="5" s="1"/>
  <c r="AF31" i="5" s="1"/>
  <c r="AF44" i="5" s="1"/>
  <c r="AL16" i="5" a="1"/>
  <c r="AL16" i="5" s="1"/>
  <c r="AL30" i="5" s="1"/>
  <c r="AL43" i="5" s="1"/>
  <c r="AE16" i="5" a="1"/>
  <c r="AE16" i="5" s="1"/>
  <c r="AE30" i="5" s="1"/>
  <c r="AE43" i="5" s="1"/>
  <c r="AK15" i="5" a="1"/>
  <c r="AK15" i="5" s="1"/>
  <c r="AJ14" i="5" a="1"/>
  <c r="AJ14" i="5" s="1"/>
  <c r="AJ28" i="5" s="1"/>
  <c r="AJ41" i="5" s="1"/>
  <c r="AD14" i="5" a="1"/>
  <c r="AD14" i="5" s="1"/>
  <c r="AI13" i="5" a="1"/>
  <c r="AI13" i="5" s="1"/>
  <c r="AI27" i="5" s="1"/>
  <c r="AI40" i="5" s="1"/>
  <c r="AO12" i="5" a="1"/>
  <c r="AO12" i="5" s="1"/>
  <c r="AO26" i="5" s="1"/>
  <c r="AO39" i="5" s="1"/>
  <c r="AI22" i="5" a="1"/>
  <c r="AI22" i="5" s="1"/>
  <c r="AI36" i="5" s="1"/>
  <c r="AI49" i="5" s="1"/>
  <c r="AO21" i="5" a="1"/>
  <c r="AO21" i="5" s="1"/>
  <c r="AO35" i="5" s="1"/>
  <c r="AO48" i="5" s="1"/>
  <c r="AN20" i="5" a="1"/>
  <c r="AN20" i="5" s="1"/>
  <c r="AN34" i="5" s="1"/>
  <c r="AN47" i="5" s="1"/>
  <c r="AH20" i="5" a="1"/>
  <c r="AH20" i="5" s="1"/>
  <c r="AH34" i="5" s="1"/>
  <c r="AH47" i="5" s="1"/>
  <c r="AM19" i="5" a="1"/>
  <c r="AM19" i="5" s="1"/>
  <c r="AM33" i="5" s="1"/>
  <c r="AM46" i="5" s="1"/>
  <c r="AG19" i="5" a="1"/>
  <c r="AG19" i="5" s="1"/>
  <c r="AG33" i="5" s="1"/>
  <c r="AG46" i="5" s="1"/>
  <c r="AF18" i="5" a="1"/>
  <c r="AF18" i="5" s="1"/>
  <c r="AF32" i="5" s="1"/>
  <c r="AF45" i="5" s="1"/>
  <c r="AL17" i="5" a="1"/>
  <c r="AL17" i="5" s="1"/>
  <c r="AL31" i="5" s="1"/>
  <c r="AL44" i="5" s="1"/>
  <c r="AE17" i="5" a="1"/>
  <c r="AE17" i="5" s="1"/>
  <c r="AE31" i="5" s="1"/>
  <c r="AE44" i="5" s="1"/>
  <c r="AK16" i="5" a="1"/>
  <c r="AK16" i="5" s="1"/>
  <c r="AK30" i="5" s="1"/>
  <c r="AK43" i="5" s="1"/>
  <c r="AJ15" i="5" a="1"/>
  <c r="AJ15" i="5" s="1"/>
  <c r="AD15" i="5" a="1"/>
  <c r="AD15" i="5" s="1"/>
  <c r="AI14" i="5" a="1"/>
  <c r="AI14" i="5" s="1"/>
  <c r="AI28" i="5" s="1"/>
  <c r="AI41" i="5" s="1"/>
  <c r="AO13" i="5" a="1"/>
  <c r="AO13" i="5" s="1"/>
  <c r="AO27" i="5" s="1"/>
  <c r="AO40" i="5" s="1"/>
  <c r="AN12" i="5" a="1"/>
  <c r="AN12" i="5" s="1"/>
  <c r="AN26" i="5" s="1"/>
  <c r="AN39" i="5" s="1"/>
  <c r="AH12" i="5" a="1"/>
  <c r="AH12" i="5" s="1"/>
  <c r="AH26" i="5" s="1"/>
  <c r="AH39" i="5" s="1"/>
  <c r="AJ12" i="5" a="1"/>
  <c r="AJ12" i="5" s="1"/>
  <c r="AJ26" i="5" s="1"/>
  <c r="AJ39" i="5" s="1"/>
  <c r="AD21" i="5" a="1"/>
  <c r="AD21" i="5" s="1"/>
  <c r="AD35" i="5" s="1"/>
  <c r="AD48" i="5" s="1"/>
  <c r="AL15" i="5" a="1"/>
  <c r="AL15" i="5" s="1"/>
  <c r="AL29" i="5" s="1"/>
  <c r="AL42" i="5" s="1"/>
  <c r="AD11" i="5" a="1"/>
  <c r="AD11" i="5" s="1"/>
  <c r="AD25" i="5" s="1"/>
  <c r="AD38" i="5" s="1"/>
  <c r="AC18" i="4" a="1"/>
  <c r="AC18" i="4" s="1"/>
  <c r="AC28" i="4" s="1"/>
  <c r="AC37" i="4" s="1"/>
  <c r="AD18" i="4" a="1"/>
  <c r="AD18" i="4" s="1"/>
  <c r="AD28" i="4" s="1"/>
  <c r="AD37" i="4" s="1"/>
  <c r="Z16" i="4" a="1"/>
  <c r="Z16" i="4" s="1"/>
  <c r="Z26" i="4" s="1"/>
  <c r="Z35" i="4" s="1"/>
  <c r="AF16" i="4" a="1"/>
  <c r="AF16" i="4" s="1"/>
  <c r="AF26" i="4" s="1"/>
  <c r="AF35" i="4" s="1"/>
  <c r="Z13" i="4" a="1"/>
  <c r="Z13" i="4" s="1"/>
  <c r="Z23" i="4" s="1"/>
  <c r="Z32" i="4" s="1"/>
  <c r="AG12" i="4" a="1"/>
  <c r="AG12" i="4" s="1"/>
  <c r="AG22" i="4" s="1"/>
  <c r="AG31" i="4" s="1"/>
  <c r="AE16" i="4" a="1"/>
  <c r="AE16" i="4" s="1"/>
  <c r="AE26" i="4" s="1"/>
  <c r="AE35" i="4" s="1"/>
  <c r="AA17" i="4" a="1"/>
  <c r="AA17" i="4" s="1"/>
  <c r="AA27" i="4" s="1"/>
  <c r="AA36" i="4" s="1"/>
  <c r="AG15" i="4" a="1"/>
  <c r="AG15" i="4" s="1"/>
  <c r="AG25" i="4" s="1"/>
  <c r="AG34" i="4" s="1"/>
  <c r="AF17" i="4" a="1"/>
  <c r="AF17" i="4" s="1"/>
  <c r="AF27" i="4" s="1"/>
  <c r="AF36" i="4" s="1"/>
  <c r="Z17" i="4" a="1"/>
  <c r="Z17" i="4" s="1"/>
  <c r="Z27" i="4" s="1"/>
  <c r="Z36" i="4" s="1"/>
  <c r="AB12" i="4" a="1"/>
  <c r="AB12" i="4" s="1"/>
  <c r="AB22" i="4" s="1"/>
  <c r="AB31" i="4" s="1"/>
  <c r="Z18" i="4" a="1"/>
  <c r="Z18" i="4" s="1"/>
  <c r="Z28" i="4" s="1"/>
  <c r="Z37" i="4" s="1"/>
  <c r="AE18" i="4" a="1"/>
  <c r="AE18" i="4" s="1"/>
  <c r="AE28" i="4" s="1"/>
  <c r="AE37" i="4" s="1"/>
  <c r="AG14" i="4" a="1"/>
  <c r="AG14" i="4" s="1"/>
  <c r="AG24" i="4" s="1"/>
  <c r="AG33" i="4" s="1"/>
  <c r="AB14" i="4" a="1"/>
  <c r="AB14" i="4" s="1"/>
  <c r="AB24" i="4" s="1"/>
  <c r="AB33" i="4" s="1"/>
  <c r="AD11" i="4" a="1"/>
  <c r="AD11" i="4" s="1"/>
  <c r="AD21" i="4" s="1"/>
  <c r="AD30" i="4" s="1"/>
  <c r="AG11" i="4" a="1"/>
  <c r="AG11" i="4" s="1"/>
  <c r="AG21" i="4" s="1"/>
  <c r="AG30" i="4" s="1"/>
  <c r="AC11" i="4" a="1"/>
  <c r="AC11" i="4" s="1"/>
  <c r="AC21" i="4" s="1"/>
  <c r="AC30" i="4" s="1"/>
  <c r="AB11" i="4" a="1"/>
  <c r="AB11" i="4" s="1"/>
  <c r="AB21" i="4" s="1"/>
  <c r="AB30" i="4" s="1"/>
  <c r="Z11" i="4" a="1"/>
  <c r="Z11" i="4" s="1"/>
  <c r="Z21" i="4" s="1"/>
  <c r="Z30" i="4" s="1"/>
  <c r="AE11" i="4" a="1"/>
  <c r="AE11" i="4" s="1"/>
  <c r="AE21" i="4" s="1"/>
  <c r="AE30" i="4" s="1"/>
  <c r="AF11" i="4" a="1"/>
  <c r="AF11" i="4" s="1"/>
  <c r="AF21" i="4" s="1"/>
  <c r="AF30" i="4" s="1"/>
  <c r="AA11" i="4" a="1"/>
  <c r="AA11" i="4" s="1"/>
  <c r="AA21" i="4" s="1"/>
  <c r="AA30" i="4" s="1"/>
  <c r="X10" i="1" a="1"/>
  <c r="X10" i="1" s="1"/>
  <c r="X16" i="1" s="1"/>
  <c r="X21" i="1" s="1"/>
  <c r="W10" i="1" a="1"/>
  <c r="W10" i="1" s="1"/>
  <c r="W16" i="1" s="1"/>
  <c r="W21" i="1" s="1"/>
  <c r="V10" i="1" a="1"/>
  <c r="V10" i="1" s="1"/>
  <c r="V16" i="1" s="1"/>
  <c r="V21" i="1" s="1"/>
  <c r="U10" i="1" a="1"/>
  <c r="U10" i="1" s="1"/>
  <c r="U16" i="1" s="1"/>
  <c r="U21" i="1" s="1"/>
  <c r="X11" i="1" a="1"/>
  <c r="X11" i="1" s="1"/>
  <c r="X17" i="1" s="1"/>
  <c r="X22" i="1" s="1"/>
  <c r="X12" i="1" a="1"/>
  <c r="X12" i="1" s="1"/>
  <c r="X18" i="1" s="1"/>
  <c r="X23" i="1" s="1"/>
  <c r="W12" i="1" a="1"/>
  <c r="W12" i="1" s="1"/>
  <c r="W18" i="1" s="1"/>
  <c r="W23" i="1" s="1"/>
  <c r="V12" i="1" a="1"/>
  <c r="V12" i="1" s="1"/>
  <c r="V18" i="1" s="1"/>
  <c r="V23" i="1" s="1"/>
  <c r="U12" i="1" a="1"/>
  <c r="U12" i="1" s="1"/>
  <c r="U18" i="1" s="1"/>
  <c r="U23" i="1" s="1"/>
  <c r="X13" i="1" a="1"/>
  <c r="X13" i="1" s="1"/>
  <c r="X19" i="1" s="1"/>
  <c r="X24" i="1" s="1"/>
  <c r="W13" i="1" a="1"/>
  <c r="W13" i="1" s="1"/>
  <c r="W19" i="1" s="1"/>
  <c r="W24" i="1" s="1"/>
  <c r="U13" i="1" a="1"/>
  <c r="U13" i="1" s="1"/>
  <c r="U19" i="1" s="1"/>
  <c r="U24" i="1" s="1"/>
  <c r="V13" i="1" a="1"/>
  <c r="V13" i="1" s="1"/>
  <c r="V19" i="1" s="1"/>
  <c r="V24" i="1" s="1"/>
  <c r="V11" i="1" a="1"/>
  <c r="V11" i="1" s="1"/>
  <c r="V17" i="1" s="1"/>
  <c r="V22" i="1" s="1"/>
  <c r="W11" i="1" a="1"/>
  <c r="W11" i="1" s="1"/>
  <c r="W17" i="1" s="1"/>
  <c r="W22" i="1" s="1"/>
  <c r="U11" i="1" a="1"/>
  <c r="U11" i="1" s="1"/>
  <c r="U17" i="1" s="1"/>
  <c r="U22" i="1" s="1"/>
  <c r="AK26" i="5" l="1"/>
  <c r="AK39" i="5" s="1"/>
  <c r="AD26" i="5"/>
  <c r="AD39" i="5" s="1"/>
  <c r="AK29" i="5"/>
  <c r="AK42" i="5" s="1"/>
  <c r="AH30" i="5"/>
  <c r="AH43" i="5" s="1"/>
  <c r="AD28" i="5"/>
  <c r="AD41" i="5" s="1"/>
  <c r="AE26" i="5"/>
  <c r="AE39" i="5" s="1"/>
  <c r="AI31" i="5"/>
  <c r="AI44" i="5" s="1"/>
  <c r="AH29" i="5"/>
  <c r="AH42" i="5" s="1"/>
  <c r="AG30" i="5"/>
  <c r="AG43" i="5" s="1"/>
  <c r="AH32" i="5"/>
  <c r="AH45" i="5" s="1"/>
  <c r="AJ29" i="5"/>
  <c r="AJ42" i="5" s="1"/>
  <c r="AH28" i="5"/>
  <c r="AH41" i="5" s="1"/>
  <c r="AD29" i="5"/>
  <c r="AD42" i="5" s="1"/>
  <c r="AI26" i="5"/>
  <c r="AI39" i="5" s="1"/>
  <c r="AK27" i="5"/>
  <c r="AK40" i="5" s="1"/>
  <c r="AF11" i="5" a="1"/>
  <c r="AF11" i="5" s="1"/>
  <c r="AJ11" i="5" a="1"/>
  <c r="AJ11" i="5" s="1"/>
  <c r="AL11" i="5" a="1"/>
  <c r="AL11" i="5" s="1"/>
  <c r="AL25" i="5" s="1"/>
  <c r="AL38" i="5" s="1"/>
  <c r="AE11" i="5" a="1"/>
  <c r="AE11" i="5" s="1"/>
  <c r="AI11" i="5" a="1"/>
  <c r="AI11" i="5" s="1"/>
  <c r="AK11" i="5" a="1"/>
  <c r="AK11" i="5" s="1"/>
  <c r="AN11" i="5" a="1"/>
  <c r="AN11" i="5" s="1"/>
  <c r="AN25" i="5" s="1"/>
  <c r="AN38" i="5" s="1"/>
  <c r="AH11" i="5" a="1"/>
  <c r="AH11" i="5" s="1"/>
  <c r="AM11" i="5" a="1"/>
  <c r="AM11" i="5" s="1"/>
  <c r="AM25" i="5" s="1"/>
  <c r="AM38" i="5" s="1"/>
  <c r="AG11" i="5" a="1"/>
  <c r="AG11" i="5" s="1"/>
  <c r="AO11" i="5" a="1"/>
  <c r="AO11" i="5" s="1"/>
  <c r="AO25" i="5" s="1"/>
  <c r="AO38" i="5" s="1"/>
  <c r="Z39" i="4"/>
  <c r="AA39" i="4"/>
  <c r="AA43" i="4" s="1"/>
  <c r="AF39" i="4"/>
  <c r="AF43" i="4" s="1"/>
  <c r="AE39" i="4"/>
  <c r="AE43" i="4" s="1"/>
  <c r="AC39" i="4"/>
  <c r="AC43" i="4" s="1"/>
  <c r="AB39" i="4"/>
  <c r="AB43" i="4" s="1"/>
  <c r="AG39" i="4"/>
  <c r="AD39" i="4"/>
  <c r="U26" i="1"/>
  <c r="U31" i="1" s="1"/>
  <c r="V26" i="1"/>
  <c r="V31" i="1" s="1"/>
  <c r="W26" i="1"/>
  <c r="W32" i="1" s="1"/>
  <c r="X26" i="1"/>
  <c r="X33" i="1" s="1"/>
  <c r="AM51" i="5" l="1"/>
  <c r="AM55" i="5" s="1"/>
  <c r="AO51" i="5"/>
  <c r="AO55" i="5" s="1"/>
  <c r="AL51" i="5"/>
  <c r="AN51" i="5"/>
  <c r="AN55" i="5" s="1"/>
  <c r="AD51" i="5"/>
  <c r="AD58" i="5" s="1"/>
  <c r="AG25" i="5"/>
  <c r="AJ25" i="5"/>
  <c r="AH25" i="5"/>
  <c r="AH38" i="5" s="1"/>
  <c r="AI25" i="5"/>
  <c r="AI38" i="5" s="1"/>
  <c r="AF25" i="5"/>
  <c r="AK25" i="5"/>
  <c r="AK38" i="5" s="1"/>
  <c r="AE25" i="5"/>
  <c r="AE38" i="5" s="1"/>
  <c r="AD49" i="4"/>
  <c r="AD48" i="4"/>
  <c r="AD47" i="4"/>
  <c r="AD45" i="4"/>
  <c r="AD50" i="4"/>
  <c r="AD46" i="4"/>
  <c r="AD44" i="4"/>
  <c r="AE46" i="4"/>
  <c r="AE45" i="4"/>
  <c r="AE48" i="4"/>
  <c r="AE47" i="4"/>
  <c r="AE49" i="4"/>
  <c r="AE44" i="4"/>
  <c r="AE50" i="4"/>
  <c r="AD43" i="4"/>
  <c r="AG48" i="4"/>
  <c r="AG50" i="4"/>
  <c r="AG47" i="4"/>
  <c r="AG45" i="4"/>
  <c r="AG44" i="4"/>
  <c r="AG49" i="4"/>
  <c r="AG46" i="4"/>
  <c r="AG43" i="4"/>
  <c r="AF46" i="4"/>
  <c r="AF48" i="4"/>
  <c r="AF44" i="4"/>
  <c r="AF49" i="4"/>
  <c r="AF50" i="4"/>
  <c r="AF47" i="4"/>
  <c r="AF45" i="4"/>
  <c r="AA50" i="4"/>
  <c r="AA49" i="4"/>
  <c r="AA45" i="4"/>
  <c r="AA46" i="4"/>
  <c r="AA47" i="4"/>
  <c r="AA44" i="4"/>
  <c r="AA48" i="4"/>
  <c r="Z48" i="4"/>
  <c r="Z44" i="4"/>
  <c r="Z45" i="4"/>
  <c r="Z47" i="4"/>
  <c r="Z46" i="4"/>
  <c r="Z50" i="4"/>
  <c r="Z49" i="4"/>
  <c r="AB48" i="4"/>
  <c r="AB44" i="4"/>
  <c r="AB49" i="4"/>
  <c r="AB45" i="4"/>
  <c r="AB50" i="4"/>
  <c r="AB47" i="4"/>
  <c r="AB46" i="4"/>
  <c r="AC46" i="4"/>
  <c r="AC48" i="4"/>
  <c r="AC47" i="4"/>
  <c r="AC50" i="4"/>
  <c r="AC45" i="4"/>
  <c r="AC49" i="4"/>
  <c r="AC44" i="4"/>
  <c r="Z43" i="4"/>
  <c r="V33" i="1"/>
  <c r="W33" i="1"/>
  <c r="V30" i="1"/>
  <c r="X31" i="1"/>
  <c r="V32" i="1"/>
  <c r="W31" i="1"/>
  <c r="W30" i="1"/>
  <c r="X30" i="1"/>
  <c r="U32" i="1"/>
  <c r="U30" i="1"/>
  <c r="X32" i="1"/>
  <c r="U33" i="1"/>
  <c r="AD63" i="5" l="1"/>
  <c r="AD62" i="5"/>
  <c r="AD64" i="5"/>
  <c r="AD65" i="5"/>
  <c r="AD57" i="5"/>
  <c r="AD60" i="5"/>
  <c r="AD61" i="5"/>
  <c r="AD66" i="5"/>
  <c r="AO66" i="5"/>
  <c r="AO65" i="5"/>
  <c r="AO62" i="5"/>
  <c r="AO57" i="5"/>
  <c r="AO56" i="5"/>
  <c r="AO58" i="5"/>
  <c r="AO60" i="5"/>
  <c r="AO63" i="5"/>
  <c r="AO59" i="5"/>
  <c r="AO61" i="5"/>
  <c r="AO64" i="5"/>
  <c r="AM62" i="5"/>
  <c r="AM57" i="5"/>
  <c r="AM60" i="5"/>
  <c r="AM63" i="5"/>
  <c r="AM64" i="5"/>
  <c r="AM59" i="5"/>
  <c r="AM58" i="5"/>
  <c r="AM66" i="5"/>
  <c r="AM61" i="5"/>
  <c r="AM65" i="5"/>
  <c r="AM56" i="5"/>
  <c r="AL58" i="5"/>
  <c r="AL62" i="5"/>
  <c r="AL61" i="5"/>
  <c r="AL65" i="5"/>
  <c r="AL59" i="5"/>
  <c r="AL56" i="5"/>
  <c r="AL60" i="5"/>
  <c r="AL64" i="5"/>
  <c r="AL66" i="5"/>
  <c r="AL63" i="5"/>
  <c r="AL57" i="5"/>
  <c r="AD59" i="5"/>
  <c r="AN57" i="5"/>
  <c r="AN64" i="5"/>
  <c r="AN59" i="5"/>
  <c r="AN61" i="5"/>
  <c r="AN65" i="5"/>
  <c r="AN63" i="5"/>
  <c r="AN62" i="5"/>
  <c r="AN58" i="5"/>
  <c r="AN66" i="5"/>
  <c r="AN60" i="5"/>
  <c r="AN56" i="5"/>
  <c r="AD56" i="5"/>
  <c r="AL55" i="5"/>
  <c r="AF38" i="5"/>
  <c r="AJ38" i="5"/>
  <c r="AG38" i="5"/>
  <c r="AD55" i="5"/>
  <c r="AK51" i="5"/>
  <c r="AE51" i="5"/>
  <c r="AI51" i="5"/>
  <c r="AI55" i="5" s="1"/>
  <c r="AH51" i="5"/>
  <c r="AH55" i="5" s="1"/>
  <c r="AF58" i="4" a="1"/>
  <c r="AF58" i="4" s="1"/>
  <c r="V39" i="1" a="1"/>
  <c r="V39" i="1" s="1"/>
  <c r="AC59" i="4" a="1"/>
  <c r="AC59" i="4" s="1"/>
  <c r="AC54" i="4" a="1"/>
  <c r="AC54" i="4" s="1"/>
  <c r="AA55" i="4" a="1"/>
  <c r="AA55" i="4" s="1"/>
  <c r="AF54" i="4" a="1"/>
  <c r="AF54" i="4" s="1"/>
  <c r="AE55" i="4" a="1"/>
  <c r="AE55" i="4" s="1"/>
  <c r="AF55" i="4" a="1"/>
  <c r="AF55" i="4" s="1"/>
  <c r="AB59" i="4" a="1"/>
  <c r="AB59" i="4" s="1"/>
  <c r="AB54" i="4" a="1"/>
  <c r="AB54" i="4" s="1"/>
  <c r="AA56" i="4" a="1"/>
  <c r="AA56" i="4" s="1"/>
  <c r="AF57" i="4" a="1"/>
  <c r="AF57" i="4" s="1"/>
  <c r="AE57" i="4" a="1"/>
  <c r="AE57" i="4" s="1"/>
  <c r="AB58" i="4" a="1"/>
  <c r="AB58" i="4" s="1"/>
  <c r="AA54" i="4" a="1"/>
  <c r="AA54" i="4" s="1"/>
  <c r="AE59" i="4" a="1"/>
  <c r="AE59" i="4" s="1"/>
  <c r="V38" i="1" a="1"/>
  <c r="V38" i="1" s="1"/>
  <c r="AC56" i="4" a="1"/>
  <c r="AC56" i="4" s="1"/>
  <c r="AC58" i="4" a="1"/>
  <c r="AC58" i="4" s="1"/>
  <c r="AA57" i="4" a="1"/>
  <c r="AA57" i="4" s="1"/>
  <c r="AD58" i="4" a="1"/>
  <c r="AD58" i="4" s="1"/>
  <c r="AD56" i="4" a="1"/>
  <c r="AD56" i="4" s="1"/>
  <c r="AD57" i="4" a="1"/>
  <c r="AD57" i="4" s="1"/>
  <c r="AD59" i="4" a="1"/>
  <c r="AD59" i="4" s="1"/>
  <c r="AD54" i="4" a="1"/>
  <c r="AD54" i="4" s="1"/>
  <c r="AD55" i="4" a="1"/>
  <c r="AD55" i="4" s="1"/>
  <c r="AC55" i="4" a="1"/>
  <c r="AC55" i="4" s="1"/>
  <c r="AA59" i="4" a="1"/>
  <c r="AA59" i="4" s="1"/>
  <c r="AF56" i="4" a="1"/>
  <c r="AF56" i="4" s="1"/>
  <c r="AB56" i="4" a="1"/>
  <c r="AB56" i="4" s="1"/>
  <c r="AC57" i="4" a="1"/>
  <c r="AC57" i="4" s="1"/>
  <c r="AE58" i="4" a="1"/>
  <c r="AE58" i="4" s="1"/>
  <c r="AF59" i="4" a="1"/>
  <c r="AF59" i="4" s="1"/>
  <c r="AB55" i="4" a="1"/>
  <c r="AB55" i="4" s="1"/>
  <c r="AE54" i="4" a="1"/>
  <c r="AE54" i="4" s="1"/>
  <c r="AA58" i="4" a="1"/>
  <c r="AA58" i="4" s="1"/>
  <c r="AG58" i="4" a="1"/>
  <c r="AG58" i="4" s="1"/>
  <c r="AG59" i="4" a="1"/>
  <c r="AG59" i="4" s="1"/>
  <c r="AG55" i="4" a="1"/>
  <c r="AG55" i="4" s="1"/>
  <c r="AG54" i="4" a="1"/>
  <c r="AG54" i="4" s="1"/>
  <c r="AG56" i="4" a="1"/>
  <c r="AG56" i="4" s="1"/>
  <c r="AG57" i="4" a="1"/>
  <c r="AG57" i="4" s="1"/>
  <c r="Z58" i="4" a="1"/>
  <c r="Z58" i="4" s="1"/>
  <c r="Z57" i="4" a="1"/>
  <c r="Z57" i="4" s="1"/>
  <c r="Z56" i="4" a="1"/>
  <c r="Z56" i="4" s="1"/>
  <c r="Z55" i="4" a="1"/>
  <c r="Z55" i="4" s="1"/>
  <c r="Z54" i="4" a="1"/>
  <c r="Z54" i="4" s="1"/>
  <c r="Z59" i="4" a="1"/>
  <c r="Z59" i="4" s="1"/>
  <c r="AB57" i="4" a="1"/>
  <c r="AB57" i="4" s="1"/>
  <c r="AE56" i="4" a="1"/>
  <c r="AE56" i="4" s="1"/>
  <c r="V37" i="1" a="1"/>
  <c r="V37" i="1" s="1"/>
  <c r="U37" i="1" a="1"/>
  <c r="U37" i="1" s="1"/>
  <c r="U39" i="1" a="1"/>
  <c r="U39" i="1" s="1"/>
  <c r="U38" i="1" a="1"/>
  <c r="U38" i="1" s="1"/>
  <c r="X38" i="1" a="1"/>
  <c r="X38" i="1" s="1"/>
  <c r="X39" i="1" a="1"/>
  <c r="X39" i="1" s="1"/>
  <c r="X37" i="1" a="1"/>
  <c r="X37" i="1" s="1"/>
  <c r="W38" i="1" a="1"/>
  <c r="W38" i="1" s="1"/>
  <c r="W37" i="1" a="1"/>
  <c r="W37" i="1" s="1"/>
  <c r="W39" i="1" a="1"/>
  <c r="W39" i="1" s="1"/>
  <c r="AM73" i="5" l="1" a="1"/>
  <c r="AM73" i="5" s="1"/>
  <c r="AO73" i="5" a="1"/>
  <c r="AO73" i="5" s="1"/>
  <c r="AO70" i="5" a="1"/>
  <c r="AO70" i="5" s="1"/>
  <c r="AN72" i="5" a="1"/>
  <c r="AN72" i="5" s="1"/>
  <c r="AN70" i="5" a="1"/>
  <c r="AN70" i="5" s="1"/>
  <c r="AM70" i="5" a="1"/>
  <c r="AM70" i="5" s="1"/>
  <c r="AO71" i="5" a="1"/>
  <c r="AO71" i="5" s="1"/>
  <c r="AM71" i="5" a="1"/>
  <c r="AM71" i="5" s="1"/>
  <c r="AD70" i="5" a="1"/>
  <c r="AD70" i="5" s="1"/>
  <c r="AM75" i="5" a="1"/>
  <c r="AM75" i="5" s="1"/>
  <c r="AO75" i="5" a="1"/>
  <c r="AO75" i="5" s="1"/>
  <c r="AM72" i="5" a="1"/>
  <c r="AM72" i="5" s="1"/>
  <c r="AN71" i="5" a="1"/>
  <c r="AN71" i="5" s="1"/>
  <c r="AM74" i="5" a="1"/>
  <c r="AM74" i="5" s="1"/>
  <c r="AN73" i="5" a="1"/>
  <c r="AN73" i="5" s="1"/>
  <c r="AO74" i="5" a="1"/>
  <c r="AO74" i="5" s="1"/>
  <c r="AN75" i="5" a="1"/>
  <c r="AN75" i="5" s="1"/>
  <c r="AL73" i="5" a="1"/>
  <c r="AL73" i="5" s="1"/>
  <c r="AL71" i="5" a="1"/>
  <c r="AL71" i="5" s="1"/>
  <c r="AL72" i="5" a="1"/>
  <c r="AL72" i="5" s="1"/>
  <c r="AL74" i="5" a="1"/>
  <c r="AL74" i="5" s="1"/>
  <c r="AL70" i="5" a="1"/>
  <c r="AL70" i="5" s="1"/>
  <c r="AL75" i="5" a="1"/>
  <c r="AL75" i="5" s="1"/>
  <c r="AO72" i="5" a="1"/>
  <c r="AO72" i="5" s="1"/>
  <c r="AN74" i="5" a="1"/>
  <c r="AN74" i="5" s="1"/>
  <c r="AK60" i="5"/>
  <c r="AK62" i="5"/>
  <c r="AK64" i="5"/>
  <c r="AK63" i="5"/>
  <c r="AK65" i="5"/>
  <c r="AK66" i="5"/>
  <c r="AK58" i="5"/>
  <c r="AK61" i="5"/>
  <c r="AK59" i="5"/>
  <c r="AK57" i="5"/>
  <c r="AK56" i="5"/>
  <c r="AD72" i="5" a="1"/>
  <c r="AD72" i="5" s="1"/>
  <c r="AD73" i="5" a="1"/>
  <c r="AD73" i="5" s="1"/>
  <c r="AD71" i="5" a="1"/>
  <c r="AD71" i="5" s="1"/>
  <c r="AD75" i="5" a="1"/>
  <c r="AD75" i="5" s="1"/>
  <c r="AD74" i="5" a="1"/>
  <c r="AD74" i="5" s="1"/>
  <c r="AG51" i="5"/>
  <c r="AG55" i="5" s="1"/>
  <c r="AJ51" i="5"/>
  <c r="AJ55" i="5" s="1"/>
  <c r="AK55" i="5"/>
  <c r="AH57" i="5"/>
  <c r="AH56" i="5"/>
  <c r="AH64" i="5"/>
  <c r="AH61" i="5"/>
  <c r="AH66" i="5"/>
  <c r="AH63" i="5"/>
  <c r="AH65" i="5"/>
  <c r="AH59" i="5"/>
  <c r="AH58" i="5"/>
  <c r="AH62" i="5"/>
  <c r="AH60" i="5"/>
  <c r="AF51" i="5"/>
  <c r="AF55" i="5" s="1"/>
  <c r="AI59" i="5"/>
  <c r="AI62" i="5"/>
  <c r="AI65" i="5"/>
  <c r="AI58" i="5"/>
  <c r="AI60" i="5"/>
  <c r="AI66" i="5"/>
  <c r="AI63" i="5"/>
  <c r="AI57" i="5"/>
  <c r="AI64" i="5"/>
  <c r="AI61" i="5"/>
  <c r="AI56" i="5"/>
  <c r="AE65" i="5"/>
  <c r="AE60" i="5"/>
  <c r="AE66" i="5"/>
  <c r="AE59" i="5"/>
  <c r="AE63" i="5"/>
  <c r="AE61" i="5"/>
  <c r="AE58" i="5"/>
  <c r="AE64" i="5"/>
  <c r="AE57" i="5"/>
  <c r="AE62" i="5"/>
  <c r="AE56" i="5"/>
  <c r="AE55" i="5"/>
  <c r="AH72" i="5" l="1" a="1"/>
  <c r="AH72" i="5" s="1"/>
  <c r="AI75" i="5" a="1"/>
  <c r="AI75" i="5" s="1"/>
  <c r="AK72" i="5" a="1"/>
  <c r="AK72" i="5" s="1"/>
  <c r="AK73" i="5" a="1"/>
  <c r="AK73" i="5" s="1"/>
  <c r="AK74" i="5" a="1"/>
  <c r="AK74" i="5" s="1"/>
  <c r="AK75" i="5" a="1"/>
  <c r="AK75" i="5" s="1"/>
  <c r="AK71" i="5" a="1"/>
  <c r="AK71" i="5" s="1"/>
  <c r="AH71" i="5" a="1"/>
  <c r="AH71" i="5" s="1"/>
  <c r="AH70" i="5" a="1"/>
  <c r="AH70" i="5" s="1"/>
  <c r="AH75" i="5" a="1"/>
  <c r="AH75" i="5" s="1"/>
  <c r="AI70" i="5" a="1"/>
  <c r="AI70" i="5" s="1"/>
  <c r="AH74" i="5" a="1"/>
  <c r="AH74" i="5" s="1"/>
  <c r="AI74" i="5" a="1"/>
  <c r="AI74" i="5" s="1"/>
  <c r="AH73" i="5" a="1"/>
  <c r="AH73" i="5" s="1"/>
  <c r="AI73" i="5" a="1"/>
  <c r="AI73" i="5" s="1"/>
  <c r="AF56" i="5"/>
  <c r="AF58" i="5"/>
  <c r="AF63" i="5"/>
  <c r="AF66" i="5"/>
  <c r="AF61" i="5"/>
  <c r="AF57" i="5"/>
  <c r="AF60" i="5"/>
  <c r="AF59" i="5"/>
  <c r="AF65" i="5"/>
  <c r="AF64" i="5"/>
  <c r="AF62" i="5"/>
  <c r="AI71" i="5" a="1"/>
  <c r="AI71" i="5" s="1"/>
  <c r="AI72" i="5" a="1"/>
  <c r="AI72" i="5" s="1"/>
  <c r="AE72" i="5" a="1"/>
  <c r="AE72" i="5" s="1"/>
  <c r="AE75" i="5" a="1"/>
  <c r="AE75" i="5" s="1"/>
  <c r="AE71" i="5" a="1"/>
  <c r="AE71" i="5" s="1"/>
  <c r="AE73" i="5" a="1"/>
  <c r="AE73" i="5" s="1"/>
  <c r="AE70" i="5" a="1"/>
  <c r="AE70" i="5" s="1"/>
  <c r="AE74" i="5" a="1"/>
  <c r="AE74" i="5" s="1"/>
  <c r="AK70" i="5" a="1"/>
  <c r="AK70" i="5" s="1"/>
  <c r="AJ56" i="5"/>
  <c r="AJ61" i="5"/>
  <c r="AJ58" i="5"/>
  <c r="AJ62" i="5"/>
  <c r="AJ64" i="5"/>
  <c r="AJ60" i="5"/>
  <c r="AJ66" i="5"/>
  <c r="AJ65" i="5"/>
  <c r="AJ63" i="5"/>
  <c r="AJ57" i="5"/>
  <c r="AJ59" i="5"/>
  <c r="AG58" i="5"/>
  <c r="AG61" i="5"/>
  <c r="AG59" i="5"/>
  <c r="AG66" i="5"/>
  <c r="AG63" i="5"/>
  <c r="AG57" i="5"/>
  <c r="AG64" i="5"/>
  <c r="AG56" i="5"/>
  <c r="AG65" i="5"/>
  <c r="AG62" i="5"/>
  <c r="AG60" i="5"/>
  <c r="AF71" i="5" l="1" a="1"/>
  <c r="AF71" i="5" s="1"/>
  <c r="AF74" i="5" a="1"/>
  <c r="AF74" i="5" s="1"/>
  <c r="AJ70" i="5" a="1"/>
  <c r="AJ70" i="5" s="1"/>
  <c r="AJ73" i="5" a="1"/>
  <c r="AJ73" i="5" s="1"/>
  <c r="AG70" i="5" a="1"/>
  <c r="AG70" i="5" s="1"/>
  <c r="AG74" i="5" a="1"/>
  <c r="AG74" i="5" s="1"/>
  <c r="AG75" i="5" a="1"/>
  <c r="AG75" i="5" s="1"/>
  <c r="AF73" i="5" a="1"/>
  <c r="AF73" i="5" s="1"/>
  <c r="AJ75" i="5" a="1"/>
  <c r="AJ75" i="5" s="1"/>
  <c r="AJ74" i="5" a="1"/>
  <c r="AJ74" i="5" s="1"/>
  <c r="AF70" i="5" a="1"/>
  <c r="AF70" i="5" s="1"/>
  <c r="AF75" i="5" a="1"/>
  <c r="AF75" i="5" s="1"/>
  <c r="AG72" i="5" a="1"/>
  <c r="AG72" i="5" s="1"/>
  <c r="AJ71" i="5" a="1"/>
  <c r="AJ71" i="5" s="1"/>
  <c r="AG73" i="5" a="1"/>
  <c r="AG73" i="5" s="1"/>
  <c r="AJ72" i="5" a="1"/>
  <c r="AJ72" i="5" s="1"/>
  <c r="AG71" i="5" a="1"/>
  <c r="AG71" i="5" s="1"/>
  <c r="AF72" i="5" a="1"/>
  <c r="AF7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tc={9D00FD58-5528-A548-9303-66D41C5F4D39}</author>
    <author>tc={0F261EE0-C623-934D-BA5D-59D58D13E117}</author>
    <author>tc={A24E9893-9EE1-FA4F-9E46-43D24A330A00}</author>
    <author>tc={01F95786-8EE7-5A48-8C16-5FBAB553BB7F}</author>
    <author>tc={D1A311E5-A9B1-FF48-BBE5-81E9C52116A8}</author>
    <author>tc={BCABA504-A3BB-844C-BDEA-BF4F112C4AA4}</author>
    <author>tc={7EE41786-85CB-D648-9646-57466A750982}</author>
    <author>tc={92F6F73C-D69C-FF48-8BAB-86066B3F5D09}</author>
    <author>tc={1EA19464-281E-4C47-97B4-4A6F3339B4F4}</author>
    <author>tc={9C5F1C5A-A637-AC4D-85E8-46226B8B4A5C}</author>
    <author>tc={F54FBE89-A5D4-3E42-A113-86A50D0364AE}</author>
  </authors>
  <commentList>
    <comment ref="G3" authorId="0" shapeId="0" xr:uid="{9D00FD58-5528-A548-9303-66D41C5F4D3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Given
↳ A set of 4 feature vectors (6-D)</t>
      </text>
    </comment>
    <comment ref="U8" authorId="1" shapeId="0" xr:uid="{0F261EE0-C623-934D-BA5D-59D58D13E11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MatMul1
↳ Multiply K^T and Q
↳ This is equivalent to taking dot product between every pair of query and key vectors.
↳ The purpose is to use dot product as an estimate of the "matching score" between every key-value pair.
↳ This estimate makes sense because dot product is the numerator of Cosine Similarity between two vectors.</t>
      </text>
    </comment>
    <comment ref="I12" authorId="2" shapeId="0" xr:uid="{A24E9893-9EE1-FA4F-9E46-43D24A330A0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Query
↳Multiply features x’s with linear transformation matrix Wq, to obtain query vectors (q1,q2,q3,q4).</t>
      </text>
    </comment>
    <comment ref="O14" authorId="3" shapeId="0" xr:uid="{01F95786-8EE7-5A48-8C16-5FBAB553BB7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Prepare for MatMul
↳ Copy query vectors
↳ Copy the transpose of key vectors</t>
      </text>
    </comment>
    <comment ref="Q16" authorId="4" shapeId="0" xr:uid="{D1A311E5-A9B1-FF48-BBE5-81E9C52116A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Scale
↳ Scale each element by the square root of dk, which is the dimension of key vectors. In this exercise, dk=3.
↳ The purpose is to normalize the impact of the dk on matching scores, even if we scale dk to varying sizes (e.g., 32, 64, or 128) in a multi-head setup.</t>
      </text>
    </comment>
    <comment ref="I17" authorId="5" shapeId="0" xr:uid="{BCABA504-A3BB-844C-BDEA-BF4F112C4A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Key
↳Multiply features x’s with linear transformation matrix Wk, to obtain key vectors (k1,k2,k3,k4).
↳ "Self" refers to the fact that both queries and keys are derived from the same input features.</t>
      </text>
    </comment>
    <comment ref="Q22" authorId="6" shapeId="0" xr:uid="{7EE41786-85CB-D648-9646-57466A7509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Softmax: e^x
↳ The first step of Softmax is to raise e to the power of the value in each cell</t>
      </text>
    </comment>
    <comment ref="Q25" authorId="7" shapeId="0" xr:uid="{92F6F73C-D69C-FF48-8BAB-86066B3F5D0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Softmax 1 / sum
↳ For each column, divide each element by the column sum
↳ The purpose is normalize each column (position) so that the numbers sum to 1. In other words, each column will become a probability distribution of attention.
↳ The result is the Attention Weight Matrix (A).</t>
      </text>
    </comment>
    <comment ref="T26" authorId="8" shapeId="0" xr:uid="{1EA19464-281E-4C47-97B4-4A6F3339B4F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Softmax: ∑
↳ Sum across each column</t>
      </text>
    </comment>
    <comment ref="I35" authorId="9" shapeId="0" xr:uid="{9C5F1C5A-A637-AC4D-85E8-46226B8B4A5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Value
↳Multiply features x’s with linear transformation matrix Wv, to obtain value vectors (v1,v2,v3,v4).</t>
      </text>
    </comment>
    <comment ref="U35" authorId="10" shapeId="0" xr:uid="{F54FBE89-A5D4-3E42-A113-86A50D0364A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# MatMul2
↳ Multiply the value vectors (Vs) with the Attention Weight Matrix (A)
↳ The results are the attention weighted features Zs.
↳ They are fed to the position-wise feed forward network in the next layer.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<sst xmlns="http://schemas.openxmlformats.org/spreadsheetml/2006/main" count="573" uniqueCount="121">
  <si>
    <t>Input</t>
  </si>
  <si>
    <t>X</t>
  </si>
  <si>
    <t>Q</t>
  </si>
  <si>
    <t>x1</t>
  </si>
  <si>
    <t>x2</t>
  </si>
  <si>
    <t>x3</t>
  </si>
  <si>
    <t>x4</t>
  </si>
  <si>
    <t>q1</t>
  </si>
  <si>
    <t>q2</t>
  </si>
  <si>
    <t>q3</t>
  </si>
  <si>
    <t>q4</t>
  </si>
  <si>
    <t>MatMul1</t>
  </si>
  <si>
    <t>K^T * Q</t>
  </si>
  <si>
    <t>K^T</t>
  </si>
  <si>
    <t>↓</t>
  </si>
  <si>
    <t>k1</t>
  </si>
  <si>
    <t>→</t>
  </si>
  <si>
    <t>k2</t>
  </si>
  <si>
    <t xml:space="preserve">Q </t>
  </si>
  <si>
    <t>k3</t>
  </si>
  <si>
    <t>Wq</t>
  </si>
  <si>
    <t>k4</t>
  </si>
  <si>
    <t>r = K^T * Q / sqrt(dk)</t>
  </si>
  <si>
    <t>Scale</t>
  </si>
  <si>
    <t>K</t>
  </si>
  <si>
    <t>T</t>
  </si>
  <si>
    <t>Wk</t>
  </si>
  <si>
    <t>[] / sqrt(dk)</t>
  </si>
  <si>
    <t>Softmax</t>
  </si>
  <si>
    <t>exponentize</t>
  </si>
  <si>
    <t>e^[]</t>
  </si>
  <si>
    <t>r[i]</t>
  </si>
  <si>
    <t>divide by sum</t>
  </si>
  <si>
    <t>/</t>
  </si>
  <si>
    <t>Σ</t>
  </si>
  <si>
    <t>Σ r[i]</t>
  </si>
  <si>
    <t>A = softmax(K^T * Q / sqrt(dk))</t>
  </si>
  <si>
    <t>Attention</t>
  </si>
  <si>
    <t>Weight</t>
  </si>
  <si>
    <t>Matrix (A)</t>
  </si>
  <si>
    <t>V</t>
  </si>
  <si>
    <t>= Wv * X</t>
  </si>
  <si>
    <t>MatMul2</t>
  </si>
  <si>
    <t>Z = V * A</t>
  </si>
  <si>
    <t>Wv</t>
  </si>
  <si>
    <t>v1</t>
  </si>
  <si>
    <t>v2</t>
  </si>
  <si>
    <t>v3</t>
  </si>
  <si>
    <t>v4</t>
  </si>
  <si>
    <t>z1</t>
  </si>
  <si>
    <t>z2</t>
  </si>
  <si>
    <t>z3</t>
  </si>
  <si>
    <t>z4</t>
  </si>
  <si>
    <t>—</t>
  </si>
  <si>
    <t>Weighted</t>
  </si>
  <si>
    <t>Features (Z)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</si>
  <si>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</si>
  <si>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</si>
  <si>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</si>
  <si>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</si>
  <si>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</si>
  <si>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</si>
  <si>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</si>
  <si>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</si>
  <si>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</si>
  <si>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</si>
  <si>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</si>
  <si>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</si>
  <si>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</si>
  <si>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</si>
  <si>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</si>
  <si>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</si>
  <si>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</si>
  <si>
    <t>Self-Attention | AI by Hand  ✍️ © 2024 Tom Yeh</t>
  </si>
  <si>
    <t>Features</t>
  </si>
  <si>
    <t>Input Dims</t>
  </si>
  <si>
    <t>Key Dims (dk)</t>
  </si>
  <si>
    <t>Value Dims (dv)</t>
  </si>
  <si>
    <t>Output Dims</t>
  </si>
  <si>
    <t>Input Length</t>
  </si>
  <si>
    <t>x5</t>
  </si>
  <si>
    <t>z6</t>
  </si>
  <si>
    <t>x6</t>
  </si>
  <si>
    <t>x7</t>
  </si>
  <si>
    <t>x8</t>
  </si>
  <si>
    <t>q5</t>
  </si>
  <si>
    <t>q6</t>
  </si>
  <si>
    <t>q7</t>
  </si>
  <si>
    <t>q8</t>
  </si>
  <si>
    <t>k5</t>
  </si>
  <si>
    <t>k6</t>
  </si>
  <si>
    <t>k7</t>
  </si>
  <si>
    <t>k8</t>
  </si>
  <si>
    <t>v5</t>
  </si>
  <si>
    <t>v6</t>
  </si>
  <si>
    <t>v7</t>
  </si>
  <si>
    <t>v8</t>
  </si>
  <si>
    <t>z5</t>
  </si>
  <si>
    <t>z7</t>
  </si>
  <si>
    <t>z8</t>
  </si>
  <si>
    <t>x9</t>
  </si>
  <si>
    <t>x10</t>
  </si>
  <si>
    <t>x11</t>
  </si>
  <si>
    <t>x12</t>
  </si>
  <si>
    <t>q9</t>
  </si>
  <si>
    <t>q10</t>
  </si>
  <si>
    <t>q11</t>
  </si>
  <si>
    <t>q12</t>
  </si>
  <si>
    <t>v9</t>
  </si>
  <si>
    <t>v10</t>
  </si>
  <si>
    <t>v11</t>
  </si>
  <si>
    <t>v12</t>
  </si>
  <si>
    <t>z9</t>
  </si>
  <si>
    <t>z10</t>
  </si>
  <si>
    <t>z11</t>
  </si>
  <si>
    <t>z12</t>
  </si>
  <si>
    <t>k9</t>
  </si>
  <si>
    <t>k10</t>
  </si>
  <si>
    <t>k11</t>
  </si>
  <si>
    <t>k12</t>
  </si>
  <si>
    <t>Feed Forward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</si>
</sst>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9900FF"/>
      <name val="Arial"/>
      <family val="2"/>
      <scheme val="minor"/>
    </font>
    <font>
      <sz val="10"/>
      <color rgb="FF9900FF"/>
      <name val="Arial"/>
      <family val="2"/>
    </font>
    <font>
      <sz val="10"/>
      <color rgb="FF9900FF"/>
      <name val="Arial"/>
      <family val="2"/>
    </font>
    <font>
      <sz val="10"/>
      <color rgb="FF6AA84F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Times New Roman"/>
      <family val="1"/>
    </font>
    <font>
      <sz val="10"/>
      <color theme="1"/>
      <name val="Arial"/>
      <family val="2"/>
    </font>
    <font>
      <sz val="9"/>
      <color rgb="FF1F1F1F"/>
      <name val="&quot;Google Sans&quot;"/>
    </font>
    <font>
      <sz val="11"/>
      <color rgb="FF1F1F1F"/>
      <name val="&quot;Google Sans&quot;"/>
    </font>
    <font>
      <b/>
      <sz val="10"/>
      <color rgb="FF980000"/>
      <name val="Times New Roman"/>
      <family val="1"/>
    </font>
    <font>
      <sz val="10"/>
      <color rgb="FF980000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21"/>
      <color rgb="FF000000"/>
      <name val="Arial"/>
      <family val="2"/>
      <scheme val="minor"/>
    </font>
    <font>
      <sz val="10"/>
      <color theme="5" tint="-0.249977111117893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1" fillId="3" borderId="0" xfId="0" applyFont="1" applyFill="1"/>
    <xf numFmtId="0" fontId="9" fillId="4" borderId="0" xfId="0" applyFont="1" applyFill="1"/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0" fillId="0" borderId="0" xfId="0" applyFont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2" borderId="0" xfId="0" applyFont="1" applyFill="1"/>
    <xf numFmtId="0" fontId="1" fillId="2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5" fillId="0" borderId="0" xfId="0" applyFont="1"/>
    <xf numFmtId="0" fontId="17" fillId="0" borderId="0" xfId="0" applyFont="1"/>
    <xf numFmtId="0" fontId="16" fillId="0" borderId="0" xfId="0" applyFont="1"/>
    <xf numFmtId="0" fontId="0" fillId="0" borderId="0" xfId="0" applyAlignment="1">
      <alignment horizontal="center"/>
    </xf>
    <xf numFmtId="0" fontId="18" fillId="0" borderId="0" xfId="1" applyFont="1" applyAlignment="1">
      <alignment wrapText="1"/>
    </xf>
    <xf numFmtId="0" fontId="18" fillId="0" borderId="0" xfId="1" applyFont="1"/>
    <xf numFmtId="0" fontId="18" fillId="0" borderId="0" xfId="1" applyFont="1" applyAlignment="1">
      <alignment horizontal="left" wrapText="1"/>
    </xf>
    <xf numFmtId="0" fontId="18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0" fontId="0" fillId="0" borderId="10" xfId="0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4" fillId="0" borderId="0" xfId="0" applyFont="1"/>
    <xf numFmtId="0" fontId="20" fillId="0" borderId="0" xfId="0" applyFont="1"/>
    <xf numFmtId="0" fontId="20" fillId="0" borderId="0" xfId="0" quotePrefix="1" applyFont="1"/>
    <xf numFmtId="0" fontId="13" fillId="0" borderId="0" xfId="0" applyFont="1" applyAlignment="1">
      <alignment horizontal="left"/>
    </xf>
    <xf numFmtId="0" fontId="2" fillId="5" borderId="0" xfId="0" applyFont="1" applyFill="1"/>
    <xf numFmtId="0" fontId="1" fillId="5" borderId="0" xfId="0" applyFont="1" applyFill="1"/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/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0" fillId="6" borderId="11" xfId="0" applyFill="1" applyBorder="1"/>
    <xf numFmtId="0" fontId="0" fillId="7" borderId="11" xfId="0" applyFill="1" applyBorder="1"/>
    <xf numFmtId="0" fontId="0" fillId="8" borderId="0" xfId="0" applyFill="1"/>
    <xf numFmtId="0" fontId="0" fillId="9" borderId="0" xfId="0" applyFill="1"/>
  </cellXfs>
  <cellStyles count="2">
    <cellStyle name="Normal 2" xfId="1" xr:uid="{AAC86444-2FAF-3A42-90B0-45FC0CD47092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123825</xdr:colOff>
      <xdr:row>4</xdr:row>
      <xdr:rowOff>57150</xdr:rowOff>
    </xdr:from>
    <xdr:ext cx="1362075" cy="35147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024158" y="755650"/>
          <a:ext cx="1362075" cy="3514725"/>
          <a:chOff x="3399325" y="1907225"/>
          <a:chExt cx="1340000" cy="3498949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3803925" y="2457525"/>
            <a:ext cx="935400" cy="288600"/>
          </a:xfrm>
          <a:prstGeom prst="roundRect">
            <a:avLst>
              <a:gd name="adj" fmla="val 16667"/>
            </a:avLst>
          </a:prstGeom>
          <a:solidFill>
            <a:srgbClr val="D9D2E9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MatMul1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893475" y="3254000"/>
            <a:ext cx="756300" cy="288600"/>
          </a:xfrm>
          <a:prstGeom prst="roundRect">
            <a:avLst>
              <a:gd name="adj" fmla="val 16667"/>
            </a:avLst>
          </a:prstGeom>
          <a:solidFill>
            <a:srgbClr val="FFF2CC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Scale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3803925" y="4162725"/>
            <a:ext cx="935400" cy="288600"/>
          </a:xfrm>
          <a:prstGeom prst="roundRect">
            <a:avLst>
              <a:gd name="adj" fmla="val 16667"/>
            </a:avLst>
          </a:prstGeom>
          <a:solidFill>
            <a:srgbClr val="D9EAD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Softmax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3412425" y="5117574"/>
            <a:ext cx="935400" cy="288600"/>
          </a:xfrm>
          <a:prstGeom prst="roundRect">
            <a:avLst>
              <a:gd name="adj" fmla="val 16667"/>
            </a:avLst>
          </a:prstGeom>
          <a:solidFill>
            <a:srgbClr val="D9D2E9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MatMul2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271625" y="1907225"/>
            <a:ext cx="278700" cy="400200"/>
          </a:xfrm>
          <a:prstGeom prst="rect">
            <a:avLst/>
          </a:prstGeom>
          <a:solidFill>
            <a:srgbClr val="00FF00"/>
          </a:solidFill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b="1"/>
              <a:t>Q</a:t>
            </a:r>
            <a:endParaRPr sz="1400" b="1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3903675" y="1907225"/>
            <a:ext cx="278700" cy="400200"/>
          </a:xfrm>
          <a:prstGeom prst="rect">
            <a:avLst/>
          </a:prstGeom>
          <a:solidFill>
            <a:srgbClr val="00FF00"/>
          </a:solidFill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b="1"/>
              <a:t>K</a:t>
            </a:r>
            <a:endParaRPr sz="1400" b="1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3399325" y="1907225"/>
            <a:ext cx="278700" cy="400200"/>
          </a:xfrm>
          <a:prstGeom prst="rect">
            <a:avLst/>
          </a:prstGeom>
          <a:solidFill>
            <a:srgbClr val="00FF00"/>
          </a:solidFill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 b="1"/>
              <a:t>V</a:t>
            </a:r>
            <a:endParaRPr sz="1400" b="1"/>
          </a:p>
        </xdr:txBody>
      </xdr:sp>
      <xdr:cxnSp macro="">
        <xdr:nvCxn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CxnSpPr>
            <a:stCxn id="9" idx="2"/>
          </xdr:cNvCxnSpPr>
        </xdr:nvCxnSpPr>
        <xdr:spPr>
          <a:xfrm>
            <a:off x="3538675" y="2307425"/>
            <a:ext cx="9600" cy="27948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>
            <a:stCxn id="3" idx="2"/>
            <a:endCxn id="4" idx="0"/>
          </xdr:cNvCxnSpPr>
        </xdr:nvCxnSpPr>
        <xdr:spPr>
          <a:xfrm>
            <a:off x="4271625" y="2746125"/>
            <a:ext cx="0" cy="507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>
            <a:stCxn id="4" idx="2"/>
            <a:endCxn id="5" idx="0"/>
          </xdr:cNvCxnSpPr>
        </xdr:nvCxnSpPr>
        <xdr:spPr>
          <a:xfrm>
            <a:off x="4271625" y="3542600"/>
            <a:ext cx="0" cy="6201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>
            <a:stCxn id="5" idx="2"/>
          </xdr:cNvCxnSpPr>
        </xdr:nvCxnSpPr>
        <xdr:spPr>
          <a:xfrm>
            <a:off x="4271625" y="4451325"/>
            <a:ext cx="900" cy="645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CxnSpPr/>
        </xdr:nvCxnSpPr>
        <xdr:spPr>
          <a:xfrm>
            <a:off x="4042725" y="2315325"/>
            <a:ext cx="1200" cy="152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/>
        </xdr:nvCxnSpPr>
        <xdr:spPr>
          <a:xfrm>
            <a:off x="4423425" y="2315325"/>
            <a:ext cx="1200" cy="152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twoCellAnchor>
    <xdr:from>
      <xdr:col>13</xdr:col>
      <xdr:colOff>50800</xdr:colOff>
      <xdr:row>3</xdr:row>
      <xdr:rowOff>76200</xdr:rowOff>
    </xdr:from>
    <xdr:to>
      <xdr:col>20</xdr:col>
      <xdr:colOff>0</xdr:colOff>
      <xdr:row>12</xdr:row>
      <xdr:rowOff>127000</xdr:rowOff>
    </xdr:to>
    <xdr:sp macro="" textlink="">
      <xdr:nvSpPr>
        <xdr:cNvPr id="16" name="Freeform 15">
          <a:extLst>
            <a:ext uri="{FF2B5EF4-FFF2-40B4-BE49-F238E27FC236}">
              <a16:creationId xmlns:a16="http://schemas.microsoft.com/office/drawing/2014/main" id="{B7DF3179-2C5D-38C4-2EC0-62F24F0A1AE9}"/>
            </a:ext>
          </a:extLst>
        </xdr:cNvPr>
        <xdr:cNvSpPr/>
      </xdr:nvSpPr>
      <xdr:spPr>
        <a:xfrm>
          <a:off x="3187700" y="736600"/>
          <a:ext cx="1587500" cy="1536700"/>
        </a:xfrm>
        <a:custGeom>
          <a:avLst/>
          <a:gdLst>
            <a:gd name="connsiteX0" fmla="*/ 0 w 1587500"/>
            <a:gd name="connsiteY0" fmla="*/ 1576764 h 1603590"/>
            <a:gd name="connsiteX1" fmla="*/ 139700 w 1587500"/>
            <a:gd name="connsiteY1" fmla="*/ 1462464 h 1603590"/>
            <a:gd name="connsiteX2" fmla="*/ 165100 w 1587500"/>
            <a:gd name="connsiteY2" fmla="*/ 484564 h 1603590"/>
            <a:gd name="connsiteX3" fmla="*/ 457200 w 1587500"/>
            <a:gd name="connsiteY3" fmla="*/ 167064 h 1603590"/>
            <a:gd name="connsiteX4" fmla="*/ 1257300 w 1587500"/>
            <a:gd name="connsiteY4" fmla="*/ 14664 h 1603590"/>
            <a:gd name="connsiteX5" fmla="*/ 1587500 w 1587500"/>
            <a:gd name="connsiteY5" fmla="*/ 14664 h 16035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87500" h="1603590">
              <a:moveTo>
                <a:pt x="0" y="1576764"/>
              </a:moveTo>
              <a:cubicBezTo>
                <a:pt x="56091" y="1610630"/>
                <a:pt x="112183" y="1644497"/>
                <a:pt x="139700" y="1462464"/>
              </a:cubicBezTo>
              <a:cubicBezTo>
                <a:pt x="167217" y="1280431"/>
                <a:pt x="112183" y="700464"/>
                <a:pt x="165100" y="484564"/>
              </a:cubicBezTo>
              <a:cubicBezTo>
                <a:pt x="218017" y="268664"/>
                <a:pt x="275167" y="245381"/>
                <a:pt x="457200" y="167064"/>
              </a:cubicBezTo>
              <a:cubicBezTo>
                <a:pt x="639233" y="88747"/>
                <a:pt x="1068917" y="40064"/>
                <a:pt x="1257300" y="14664"/>
              </a:cubicBezTo>
              <a:cubicBezTo>
                <a:pt x="1445683" y="-10736"/>
                <a:pt x="1516591" y="1964"/>
                <a:pt x="1587500" y="14664"/>
              </a:cubicBezTo>
            </a:path>
          </a:pathLst>
        </a:custGeom>
        <a:noFill/>
        <a:ln>
          <a:solidFill>
            <a:srgbClr val="7030A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25400</xdr:colOff>
      <xdr:row>13</xdr:row>
      <xdr:rowOff>88900</xdr:rowOff>
    </xdr:from>
    <xdr:to>
      <xdr:col>15</xdr:col>
      <xdr:colOff>127000</xdr:colOff>
      <xdr:row>17</xdr:row>
      <xdr:rowOff>104723</xdr:rowOff>
    </xdr:to>
    <xdr:sp macro="" textlink="">
      <xdr:nvSpPr>
        <xdr:cNvPr id="18" name="Freeform 17">
          <a:extLst>
            <a:ext uri="{FF2B5EF4-FFF2-40B4-BE49-F238E27FC236}">
              <a16:creationId xmlns:a16="http://schemas.microsoft.com/office/drawing/2014/main" id="{901F54A9-8ECB-B849-02C0-27AD9836631C}"/>
            </a:ext>
          </a:extLst>
        </xdr:cNvPr>
        <xdr:cNvSpPr/>
      </xdr:nvSpPr>
      <xdr:spPr>
        <a:xfrm>
          <a:off x="3162300" y="2400300"/>
          <a:ext cx="469900" cy="676223"/>
        </a:xfrm>
        <a:custGeom>
          <a:avLst/>
          <a:gdLst>
            <a:gd name="connsiteX0" fmla="*/ 0 w 469900"/>
            <a:gd name="connsiteY0" fmla="*/ 647700 h 676223"/>
            <a:gd name="connsiteX1" fmla="*/ 241300 w 469900"/>
            <a:gd name="connsiteY1" fmla="*/ 660400 h 676223"/>
            <a:gd name="connsiteX2" fmla="*/ 419100 w 469900"/>
            <a:gd name="connsiteY2" fmla="*/ 457200 h 676223"/>
            <a:gd name="connsiteX3" fmla="*/ 469900 w 469900"/>
            <a:gd name="connsiteY3" fmla="*/ 0 h 67622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69900" h="676223">
              <a:moveTo>
                <a:pt x="0" y="647700"/>
              </a:moveTo>
              <a:cubicBezTo>
                <a:pt x="85725" y="669925"/>
                <a:pt x="171450" y="692150"/>
                <a:pt x="241300" y="660400"/>
              </a:cubicBezTo>
              <a:cubicBezTo>
                <a:pt x="311150" y="628650"/>
                <a:pt x="381000" y="567267"/>
                <a:pt x="419100" y="457200"/>
              </a:cubicBezTo>
              <a:cubicBezTo>
                <a:pt x="457200" y="347133"/>
                <a:pt x="463550" y="173566"/>
                <a:pt x="469900" y="0"/>
              </a:cubicBezTo>
            </a:path>
          </a:pathLst>
        </a:custGeom>
        <a:noFill/>
        <a:ln>
          <a:solidFill>
            <a:srgbClr val="7030A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50800</xdr:colOff>
      <xdr:row>3</xdr:row>
      <xdr:rowOff>76200</xdr:rowOff>
    </xdr:from>
    <xdr:to>
      <xdr:col>25</xdr:col>
      <xdr:colOff>0</xdr:colOff>
      <xdr:row>12</xdr:row>
      <xdr:rowOff>127000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32A23B14-B654-B149-AA43-6367A9F96CBB}"/>
            </a:ext>
          </a:extLst>
        </xdr:cNvPr>
        <xdr:cNvSpPr/>
      </xdr:nvSpPr>
      <xdr:spPr>
        <a:xfrm>
          <a:off x="4102100" y="736600"/>
          <a:ext cx="1841500" cy="1536700"/>
        </a:xfrm>
        <a:custGeom>
          <a:avLst/>
          <a:gdLst>
            <a:gd name="connsiteX0" fmla="*/ 0 w 1587500"/>
            <a:gd name="connsiteY0" fmla="*/ 1576764 h 1603590"/>
            <a:gd name="connsiteX1" fmla="*/ 139700 w 1587500"/>
            <a:gd name="connsiteY1" fmla="*/ 1462464 h 1603590"/>
            <a:gd name="connsiteX2" fmla="*/ 165100 w 1587500"/>
            <a:gd name="connsiteY2" fmla="*/ 484564 h 1603590"/>
            <a:gd name="connsiteX3" fmla="*/ 457200 w 1587500"/>
            <a:gd name="connsiteY3" fmla="*/ 167064 h 1603590"/>
            <a:gd name="connsiteX4" fmla="*/ 1257300 w 1587500"/>
            <a:gd name="connsiteY4" fmla="*/ 14664 h 1603590"/>
            <a:gd name="connsiteX5" fmla="*/ 1587500 w 1587500"/>
            <a:gd name="connsiteY5" fmla="*/ 14664 h 16035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87500" h="1603590">
              <a:moveTo>
                <a:pt x="0" y="1576764"/>
              </a:moveTo>
              <a:cubicBezTo>
                <a:pt x="56091" y="1610630"/>
                <a:pt x="112183" y="1644497"/>
                <a:pt x="139700" y="1462464"/>
              </a:cubicBezTo>
              <a:cubicBezTo>
                <a:pt x="167217" y="1280431"/>
                <a:pt x="112183" y="700464"/>
                <a:pt x="165100" y="484564"/>
              </a:cubicBezTo>
              <a:cubicBezTo>
                <a:pt x="218017" y="268664"/>
                <a:pt x="275167" y="245381"/>
                <a:pt x="457200" y="167064"/>
              </a:cubicBezTo>
              <a:cubicBezTo>
                <a:pt x="639233" y="88747"/>
                <a:pt x="1068917" y="40064"/>
                <a:pt x="1257300" y="14664"/>
              </a:cubicBezTo>
              <a:cubicBezTo>
                <a:pt x="1445683" y="-10736"/>
                <a:pt x="1516591" y="1964"/>
                <a:pt x="1587500" y="14664"/>
              </a:cubicBezTo>
            </a:path>
          </a:pathLst>
        </a:custGeom>
        <a:noFill/>
        <a:ln>
          <a:solidFill>
            <a:srgbClr val="7030A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12700</xdr:colOff>
      <xdr:row>18</xdr:row>
      <xdr:rowOff>25399</xdr:rowOff>
    </xdr:from>
    <xdr:to>
      <xdr:col>19</xdr:col>
      <xdr:colOff>114300</xdr:colOff>
      <xdr:row>20</xdr:row>
      <xdr:rowOff>139700</xdr:rowOff>
    </xdr:to>
    <xdr:sp macro="" textlink="">
      <xdr:nvSpPr>
        <xdr:cNvPr id="3" name="Freeform 2">
          <a:extLst>
            <a:ext uri="{FF2B5EF4-FFF2-40B4-BE49-F238E27FC236}">
              <a16:creationId xmlns:a16="http://schemas.microsoft.com/office/drawing/2014/main" id="{2ACD5A8F-967E-C049-8B20-8A1337B09A0D}"/>
            </a:ext>
          </a:extLst>
        </xdr:cNvPr>
        <xdr:cNvSpPr/>
      </xdr:nvSpPr>
      <xdr:spPr>
        <a:xfrm>
          <a:off x="4064000" y="3187699"/>
          <a:ext cx="469900" cy="444501"/>
        </a:xfrm>
        <a:custGeom>
          <a:avLst/>
          <a:gdLst>
            <a:gd name="connsiteX0" fmla="*/ 0 w 469900"/>
            <a:gd name="connsiteY0" fmla="*/ 647700 h 676223"/>
            <a:gd name="connsiteX1" fmla="*/ 241300 w 469900"/>
            <a:gd name="connsiteY1" fmla="*/ 660400 h 676223"/>
            <a:gd name="connsiteX2" fmla="*/ 419100 w 469900"/>
            <a:gd name="connsiteY2" fmla="*/ 457200 h 676223"/>
            <a:gd name="connsiteX3" fmla="*/ 469900 w 469900"/>
            <a:gd name="connsiteY3" fmla="*/ 0 h 67622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69900" h="676223">
              <a:moveTo>
                <a:pt x="0" y="647700"/>
              </a:moveTo>
              <a:cubicBezTo>
                <a:pt x="85725" y="669925"/>
                <a:pt x="171450" y="692150"/>
                <a:pt x="241300" y="660400"/>
              </a:cubicBezTo>
              <a:cubicBezTo>
                <a:pt x="311150" y="628650"/>
                <a:pt x="381000" y="567267"/>
                <a:pt x="419100" y="457200"/>
              </a:cubicBezTo>
              <a:cubicBezTo>
                <a:pt x="457200" y="347133"/>
                <a:pt x="463550" y="173566"/>
                <a:pt x="469900" y="0"/>
              </a:cubicBezTo>
            </a:path>
          </a:pathLst>
        </a:custGeom>
        <a:noFill/>
        <a:ln>
          <a:solidFill>
            <a:srgbClr val="7030A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50800</xdr:colOff>
      <xdr:row>3</xdr:row>
      <xdr:rowOff>76200</xdr:rowOff>
    </xdr:from>
    <xdr:to>
      <xdr:col>29</xdr:col>
      <xdr:colOff>0</xdr:colOff>
      <xdr:row>12</xdr:row>
      <xdr:rowOff>127000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4E40821F-0E59-134B-9AFC-D67C3C445C12}"/>
            </a:ext>
          </a:extLst>
        </xdr:cNvPr>
        <xdr:cNvSpPr/>
      </xdr:nvSpPr>
      <xdr:spPr>
        <a:xfrm>
          <a:off x="4102100" y="736600"/>
          <a:ext cx="1841500" cy="1536700"/>
        </a:xfrm>
        <a:custGeom>
          <a:avLst/>
          <a:gdLst>
            <a:gd name="connsiteX0" fmla="*/ 0 w 1587500"/>
            <a:gd name="connsiteY0" fmla="*/ 1576764 h 1603590"/>
            <a:gd name="connsiteX1" fmla="*/ 139700 w 1587500"/>
            <a:gd name="connsiteY1" fmla="*/ 1462464 h 1603590"/>
            <a:gd name="connsiteX2" fmla="*/ 165100 w 1587500"/>
            <a:gd name="connsiteY2" fmla="*/ 484564 h 1603590"/>
            <a:gd name="connsiteX3" fmla="*/ 457200 w 1587500"/>
            <a:gd name="connsiteY3" fmla="*/ 167064 h 1603590"/>
            <a:gd name="connsiteX4" fmla="*/ 1257300 w 1587500"/>
            <a:gd name="connsiteY4" fmla="*/ 14664 h 1603590"/>
            <a:gd name="connsiteX5" fmla="*/ 1587500 w 1587500"/>
            <a:gd name="connsiteY5" fmla="*/ 14664 h 16035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587500" h="1603590">
              <a:moveTo>
                <a:pt x="0" y="1576764"/>
              </a:moveTo>
              <a:cubicBezTo>
                <a:pt x="56091" y="1610630"/>
                <a:pt x="112183" y="1644497"/>
                <a:pt x="139700" y="1462464"/>
              </a:cubicBezTo>
              <a:cubicBezTo>
                <a:pt x="167217" y="1280431"/>
                <a:pt x="112183" y="700464"/>
                <a:pt x="165100" y="484564"/>
              </a:cubicBezTo>
              <a:cubicBezTo>
                <a:pt x="218017" y="268664"/>
                <a:pt x="275167" y="245381"/>
                <a:pt x="457200" y="167064"/>
              </a:cubicBezTo>
              <a:cubicBezTo>
                <a:pt x="639233" y="88747"/>
                <a:pt x="1068917" y="40064"/>
                <a:pt x="1257300" y="14664"/>
              </a:cubicBezTo>
              <a:cubicBezTo>
                <a:pt x="1445683" y="-10736"/>
                <a:pt x="1516591" y="1964"/>
                <a:pt x="1587500" y="14664"/>
              </a:cubicBezTo>
            </a:path>
          </a:pathLst>
        </a:custGeom>
        <a:noFill/>
        <a:ln>
          <a:solidFill>
            <a:srgbClr val="7030A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50800</xdr:colOff>
      <xdr:row>20</xdr:row>
      <xdr:rowOff>111856</xdr:rowOff>
    </xdr:from>
    <xdr:to>
      <xdr:col>23</xdr:col>
      <xdr:colOff>190500</xdr:colOff>
      <xdr:row>23</xdr:row>
      <xdr:rowOff>12700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284E7579-29B3-0300-90BF-2A88EE9E0533}"/>
            </a:ext>
          </a:extLst>
        </xdr:cNvPr>
        <xdr:cNvSpPr/>
      </xdr:nvSpPr>
      <xdr:spPr>
        <a:xfrm>
          <a:off x="5778500" y="3604356"/>
          <a:ext cx="508000" cy="408844"/>
        </a:xfrm>
        <a:custGeom>
          <a:avLst/>
          <a:gdLst>
            <a:gd name="connsiteX0" fmla="*/ 0 w 558800"/>
            <a:gd name="connsiteY0" fmla="*/ 2444 h 408844"/>
            <a:gd name="connsiteX1" fmla="*/ 114300 w 558800"/>
            <a:gd name="connsiteY1" fmla="*/ 40544 h 408844"/>
            <a:gd name="connsiteX2" fmla="*/ 228600 w 558800"/>
            <a:gd name="connsiteY2" fmla="*/ 281844 h 408844"/>
            <a:gd name="connsiteX3" fmla="*/ 457200 w 558800"/>
            <a:gd name="connsiteY3" fmla="*/ 408844 h 408844"/>
            <a:gd name="connsiteX4" fmla="*/ 558800 w 558800"/>
            <a:gd name="connsiteY4" fmla="*/ 281844 h 40884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58800" h="408844">
              <a:moveTo>
                <a:pt x="0" y="2444"/>
              </a:moveTo>
              <a:cubicBezTo>
                <a:pt x="38100" y="-1790"/>
                <a:pt x="76200" y="-6023"/>
                <a:pt x="114300" y="40544"/>
              </a:cubicBezTo>
              <a:cubicBezTo>
                <a:pt x="152400" y="87111"/>
                <a:pt x="171450" y="220461"/>
                <a:pt x="228600" y="281844"/>
              </a:cubicBezTo>
              <a:cubicBezTo>
                <a:pt x="285750" y="343227"/>
                <a:pt x="402167" y="408844"/>
                <a:pt x="457200" y="408844"/>
              </a:cubicBezTo>
              <a:cubicBezTo>
                <a:pt x="512233" y="408844"/>
                <a:pt x="535516" y="345344"/>
                <a:pt x="558800" y="281844"/>
              </a:cubicBezTo>
            </a:path>
          </a:pathLst>
        </a:custGeom>
        <a:noFill/>
        <a:ln>
          <a:solidFill>
            <a:srgbClr val="7030A0"/>
          </a:solidFill>
          <a:headEnd type="none" w="med" len="med"/>
          <a:tailEnd type="triangl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Relationship Id="rId1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U vs. LeakyReLU"/>
      <sheetName val="LICENSE"/>
    </sheetNames>
    <sheetDataSet>
      <sheetData sheetId="0">
        <row r="5">
          <cell r="H5">
            <v>0.5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om Yeh" id="{35DA745E-D8A7-404E-8D1D-471D84517D1E}" userId="S::peye9704@colorado.edu::1e01d604-d88c-4cc6-ae31-643963d79273" providerId="AD"/>
</personList>
</file>

<file path=xl/theme/theme1.xml><?xml version="1.0" encoding="utf-8"?>
<a:theme xmlns:a="http://schemas.openxmlformats.org/drawingml/2006/main" name="Sheet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4-09-27T10:22:30.51" personId="{35DA745E-D8A7-404E-8D1D-471D84517D1E}" id="{9D00FD58-5528-A548-9303-66D41C5F4D39}">
    <text># Given
↳ A set of 4 feature vectors (6-D)</text>
  </threadedComment>
  <threadedComment ref="U8" dT="2024-09-27T11:36:12.43" personId="{35DA745E-D8A7-404E-8D1D-471D84517D1E}" id="{0F261EE0-C623-934D-BA5D-59D58D13E117}">
    <text># MatMul1
↳ Multiply K^T and Q
↳ This is equivalent to taking dot product between every pair of query and key vectors.
↳ The purpose is to use dot product as an estimate of the "matching score" between every key-value pair.
↳ This estimate makes sense because dot product is the numerator of Cosine Similarity between two vectors.</text>
  </threadedComment>
  <threadedComment ref="I12" dT="2024-09-27T10:23:52.66" personId="{35DA745E-D8A7-404E-8D1D-471D84517D1E}" id="{A24E9893-9EE1-FA4F-9E46-43D24A330A00}">
    <text># Query
↳Multiply features x’s with linear transformation matrix Wq, to obtain query vectors (q1,q2,q3,q4).</text>
  </threadedComment>
  <threadedComment ref="O14" dT="2024-09-27T10:27:21.37" personId="{35DA745E-D8A7-404E-8D1D-471D84517D1E}" id="{01F95786-8EE7-5A48-8C16-5FBAB553BB7F}">
    <text># Prepare for MatMul
↳ Copy query vectors
↳ Copy the transpose of key vectors</text>
  </threadedComment>
  <threadedComment ref="Q16" dT="2024-09-27T11:39:43.38" personId="{35DA745E-D8A7-404E-8D1D-471D84517D1E}" id="{D1A311E5-A9B1-FF48-BBE5-81E9C52116A8}">
    <text># Scale
↳ Scale each element by the square root of dk, which is the dimension of key vectors. In this exercise, dk=3.
↳ The purpose is to normalize the impact of the dk on matching scores, even if we scale dk to varying sizes (e.g., 32, 64, or 128) in a multi-head setup.</text>
  </threadedComment>
  <threadedComment ref="I17" dT="2024-09-27T10:24:28.50" personId="{35DA745E-D8A7-404E-8D1D-471D84517D1E}" id="{BCABA504-A3BB-844C-BDEA-BF4F112C4AA4}">
    <text># Key
↳Multiply features x’s with linear transformation matrix Wk, to obtain key vectors (k1,k2,k3,k4).
↳ "Self" refers to the fact that both queries and keys are derived from the same input features.</text>
  </threadedComment>
  <threadedComment ref="Q22" dT="2024-09-27T11:40:22.14" personId="{35DA745E-D8A7-404E-8D1D-471D84517D1E}" id="{7EE41786-85CB-D648-9646-57466A750982}">
    <text># Softmax: e^x
↳ The first step of Softmax is to raise e to the power of the value in each cell</text>
  </threadedComment>
  <threadedComment ref="Q25" dT="2024-09-27T11:41:46.80" personId="{35DA745E-D8A7-404E-8D1D-471D84517D1E}" id="{92F6F73C-D69C-FF48-8BAB-86066B3F5D09}">
    <text># Softmax 1 / sum
↳ For each column, divide each element by the column sum
↳ The purpose is normalize each column (position) so that the numbers sum to 1. In other words, each column will become a probability distribution of attention.
↳ The result is the Attention Weight Matrix (A).</text>
  </threadedComment>
  <threadedComment ref="T26" dT="2024-09-27T11:40:51.91" personId="{35DA745E-D8A7-404E-8D1D-471D84517D1E}" id="{1EA19464-281E-4C47-97B4-4A6F3339B4F4}">
    <text># Softmax: ∑
↳ Sum across each column</text>
  </threadedComment>
  <threadedComment ref="I35" dT="2024-09-27T10:24:28.50" personId="{35DA745E-D8A7-404E-8D1D-471D84517D1E}" id="{9C5F1C5A-A637-AC4D-85E8-46226B8B4A5C}">
    <text># Value
↳Multiply features x’s with linear transformation matrix Wv, to obtain value vectors (v1,v2,v3,v4).</text>
  </threadedComment>
  <threadedComment ref="U35" dT="2024-09-27T11:42:15.78" personId="{35DA745E-D8A7-404E-8D1D-471D84517D1E}" id="{F54FBE89-A5D4-3E42-A113-86A50D0364AE}">
    <text># MatMul2
↳ Multiply the value vectors (Vs) with the Attention Weight Matrix (A)
↳ The results are the attention weighted features Zs.
↳ They are fed to the position-wise feed forward network in the next layer.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6"/>
  <sheetViews>
    <sheetView tabSelected="1" zoomScale="120" zoomScaleNormal="120" workbookViewId="0">
      <pane ySplit="1" topLeftCell="A2" activePane="bottomLeft" state="frozen"/>
      <selection pane="bottomLeft" activeCell="F32" sqref="F32"/>
    </sheetView>
  </sheetViews>
  <sheetFormatPr baseColWidth="10" defaultColWidth="12.6640625" defaultRowHeight="15.75" customHeight="1"/>
  <cols>
    <col min="1" max="1" width="3.33203125" customWidth="1"/>
    <col min="2" max="2" width="3.6640625" customWidth="1"/>
    <col min="3" max="9" width="3.1640625" customWidth="1"/>
    <col min="10" max="13" width="3" customWidth="1"/>
    <col min="14" max="14" width="2.1640625" customWidth="1"/>
    <col min="15" max="15" width="2.6640625" customWidth="1"/>
    <col min="16" max="16" width="3.33203125" customWidth="1"/>
    <col min="17" max="19" width="4.83203125" customWidth="1"/>
    <col min="20" max="20" width="3.33203125" customWidth="1"/>
    <col min="21" max="24" width="4.83203125" customWidth="1"/>
    <col min="25" max="25" width="3.5" customWidth="1"/>
    <col min="26" max="26" width="3.83203125" customWidth="1"/>
    <col min="27" max="27" width="17.33203125" customWidth="1"/>
  </cols>
  <sheetData>
    <row r="1" spans="1:29" ht="15" customHeight="1">
      <c r="A1" s="42" t="s">
        <v>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  <c r="W1" s="43"/>
      <c r="X1" s="43"/>
      <c r="Y1" s="43"/>
      <c r="Z1" s="43"/>
      <c r="AA1" s="43"/>
      <c r="AB1" s="43"/>
      <c r="AC1" s="43"/>
    </row>
    <row r="2" spans="1:29" ht="13">
      <c r="A2" s="3"/>
      <c r="B2" s="34"/>
      <c r="C2" s="4"/>
      <c r="D2" s="4"/>
      <c r="E2" s="4"/>
      <c r="J2" s="1"/>
      <c r="U2" s="2"/>
      <c r="V2" s="3"/>
      <c r="W2" s="3"/>
      <c r="X2" s="3"/>
    </row>
    <row r="3" spans="1:29" ht="13">
      <c r="A3" s="3"/>
      <c r="B3" s="4"/>
      <c r="C3" s="4"/>
      <c r="D3" s="4"/>
      <c r="E3" s="4"/>
      <c r="G3" s="4" t="s">
        <v>0</v>
      </c>
      <c r="J3" s="1" t="s">
        <v>1</v>
      </c>
      <c r="U3" s="2" t="s">
        <v>2</v>
      </c>
      <c r="V3" s="3"/>
      <c r="W3" s="3"/>
      <c r="X3" s="3"/>
    </row>
    <row r="4" spans="1:29" ht="13">
      <c r="G4" s="4" t="s">
        <v>74</v>
      </c>
      <c r="J4" s="3" t="s">
        <v>3</v>
      </c>
      <c r="K4" s="3" t="s">
        <v>4</v>
      </c>
      <c r="L4" s="3" t="s">
        <v>5</v>
      </c>
      <c r="M4" s="3" t="s">
        <v>6</v>
      </c>
      <c r="O4" s="5"/>
      <c r="P4" s="6"/>
      <c r="Q4" s="6"/>
      <c r="R4" s="6"/>
      <c r="S4" s="6"/>
      <c r="T4" s="7"/>
      <c r="U4" s="3" t="s">
        <v>7</v>
      </c>
      <c r="V4" s="3" t="s">
        <v>8</v>
      </c>
      <c r="W4" s="3" t="s">
        <v>9</v>
      </c>
      <c r="X4" s="3" t="s">
        <v>10</v>
      </c>
    </row>
    <row r="5" spans="1:29" ht="13">
      <c r="A5" s="37" t="s">
        <v>79</v>
      </c>
      <c r="E5">
        <v>4</v>
      </c>
      <c r="J5" s="8">
        <v>2</v>
      </c>
      <c r="K5" s="8">
        <v>0</v>
      </c>
      <c r="L5" s="8">
        <v>0</v>
      </c>
      <c r="M5" s="8">
        <v>2</v>
      </c>
      <c r="O5" s="5"/>
      <c r="P5" s="9"/>
      <c r="U5" s="44">
        <f>J14</f>
        <v>2</v>
      </c>
      <c r="V5" s="44">
        <f t="shared" ref="V5:X5" si="0">K14</f>
        <v>1</v>
      </c>
      <c r="W5" s="44">
        <f t="shared" si="0"/>
        <v>0</v>
      </c>
      <c r="X5" s="44">
        <f t="shared" si="0"/>
        <v>2</v>
      </c>
    </row>
    <row r="6" spans="1:29" ht="13">
      <c r="A6" s="37" t="s">
        <v>75</v>
      </c>
      <c r="E6">
        <v>6</v>
      </c>
      <c r="G6" s="1"/>
      <c r="J6" s="8">
        <v>0</v>
      </c>
      <c r="K6" s="8">
        <v>1</v>
      </c>
      <c r="L6" s="8">
        <v>0</v>
      </c>
      <c r="M6" s="8">
        <v>0</v>
      </c>
      <c r="O6" s="5"/>
      <c r="U6" s="44">
        <f t="shared" ref="U6:X6" si="1">J15</f>
        <v>0</v>
      </c>
      <c r="V6" s="44">
        <f t="shared" si="1"/>
        <v>1</v>
      </c>
      <c r="W6" s="44">
        <f t="shared" si="1"/>
        <v>1</v>
      </c>
      <c r="X6" s="44">
        <f t="shared" si="1"/>
        <v>1</v>
      </c>
    </row>
    <row r="7" spans="1:29" ht="13">
      <c r="A7" s="37" t="s">
        <v>76</v>
      </c>
      <c r="B7" s="37"/>
      <c r="E7">
        <v>3</v>
      </c>
      <c r="J7" s="8">
        <v>0</v>
      </c>
      <c r="K7" s="8">
        <v>2</v>
      </c>
      <c r="L7" s="8">
        <v>1</v>
      </c>
      <c r="M7" s="8">
        <v>0</v>
      </c>
      <c r="O7" s="5"/>
      <c r="U7" s="44">
        <f t="shared" ref="U7:X7" si="2">J16</f>
        <v>3</v>
      </c>
      <c r="V7" s="44">
        <f t="shared" si="2"/>
        <v>2</v>
      </c>
      <c r="W7" s="44">
        <f t="shared" si="2"/>
        <v>2</v>
      </c>
      <c r="X7" s="44">
        <f t="shared" si="2"/>
        <v>1</v>
      </c>
    </row>
    <row r="8" spans="1:29" ht="13">
      <c r="A8" s="37" t="s">
        <v>77</v>
      </c>
      <c r="E8">
        <v>3</v>
      </c>
      <c r="J8" s="8">
        <v>0</v>
      </c>
      <c r="K8" s="8">
        <v>0</v>
      </c>
      <c r="L8" s="8">
        <v>1</v>
      </c>
      <c r="M8" s="8">
        <v>1</v>
      </c>
      <c r="O8" s="5"/>
      <c r="Q8" s="10" t="s">
        <v>11</v>
      </c>
      <c r="R8" s="11"/>
      <c r="S8" s="12"/>
      <c r="U8" s="48" t="s">
        <v>12</v>
      </c>
    </row>
    <row r="9" spans="1:29" ht="13">
      <c r="A9" s="37" t="s">
        <v>78</v>
      </c>
      <c r="E9">
        <v>3</v>
      </c>
      <c r="J9" s="8">
        <v>2</v>
      </c>
      <c r="K9" s="8">
        <v>0</v>
      </c>
      <c r="L9" s="8">
        <v>0</v>
      </c>
      <c r="M9" s="8">
        <v>0</v>
      </c>
      <c r="N9" s="9"/>
      <c r="O9" s="5"/>
      <c r="Q9" s="1" t="s">
        <v>13</v>
      </c>
      <c r="U9" s="3" t="s">
        <v>14</v>
      </c>
      <c r="V9" s="3" t="s">
        <v>14</v>
      </c>
      <c r="W9" s="3" t="s">
        <v>14</v>
      </c>
      <c r="X9" s="3" t="s">
        <v>14</v>
      </c>
    </row>
    <row r="10" spans="1:29" ht="13">
      <c r="J10" s="8">
        <v>1</v>
      </c>
      <c r="K10" s="8">
        <v>0</v>
      </c>
      <c r="L10" s="8">
        <v>1</v>
      </c>
      <c r="M10" s="8">
        <v>1</v>
      </c>
      <c r="N10" s="9"/>
      <c r="O10" s="5"/>
      <c r="P10" s="4" t="s">
        <v>15</v>
      </c>
      <c r="Q10" s="44">
        <f>J19</f>
        <v>0</v>
      </c>
      <c r="R10" s="44">
        <f>J20</f>
        <v>0</v>
      </c>
      <c r="S10" s="44">
        <f>J21</f>
        <v>1</v>
      </c>
      <c r="T10" s="3" t="s">
        <v>16</v>
      </c>
      <c r="U10" s="44" cm="1">
        <f t="array" ref="U10">MMULT($Q10:$S10,U$5:U$7)</f>
        <v>3</v>
      </c>
      <c r="V10" s="44" cm="1">
        <f t="array" ref="V10">MMULT($Q10:$S10,V$5:V$7)</f>
        <v>2</v>
      </c>
      <c r="W10" s="44" cm="1">
        <f t="array" ref="W10">MMULT($Q10:$S10,W$5:W$7)</f>
        <v>2</v>
      </c>
      <c r="X10" s="44" cm="1">
        <f t="array" ref="X10">MMULT($Q10:$S10,X$5:X$7)</f>
        <v>1</v>
      </c>
    </row>
    <row r="11" spans="1:29" ht="13">
      <c r="F11" s="3"/>
      <c r="G11" s="3"/>
      <c r="H11" s="3"/>
      <c r="I11" s="3"/>
      <c r="J11" s="3" t="s">
        <v>14</v>
      </c>
      <c r="K11" s="3" t="s">
        <v>14</v>
      </c>
      <c r="L11" s="3" t="s">
        <v>14</v>
      </c>
      <c r="M11" s="3" t="s">
        <v>14</v>
      </c>
      <c r="N11" s="9"/>
      <c r="O11" s="5"/>
      <c r="P11" s="4" t="s">
        <v>17</v>
      </c>
      <c r="Q11" s="44">
        <f>K19</f>
        <v>2</v>
      </c>
      <c r="R11" s="44">
        <f>K20</f>
        <v>1</v>
      </c>
      <c r="S11" s="44">
        <f>K21</f>
        <v>0</v>
      </c>
      <c r="T11" s="3" t="s">
        <v>16</v>
      </c>
      <c r="U11" s="44" cm="1">
        <f t="array" ref="U11">MMULT($Q11:$S11,U$5:U$7)</f>
        <v>4</v>
      </c>
      <c r="V11" s="44" cm="1">
        <f t="array" ref="V11">MMULT($Q11:$S11,V$5:V$7)</f>
        <v>3</v>
      </c>
      <c r="W11" s="44" cm="1">
        <f t="array" ref="W11">MMULT($Q11:$S11,W$5:W$7)</f>
        <v>1</v>
      </c>
      <c r="X11" s="44" cm="1">
        <f t="array" ref="X11">MMULT($Q11:$S11,X$5:X$7)</f>
        <v>5</v>
      </c>
    </row>
    <row r="12" spans="1:29" ht="13">
      <c r="J12" s="13" t="s">
        <v>18</v>
      </c>
      <c r="O12" s="5"/>
      <c r="P12" s="4" t="s">
        <v>19</v>
      </c>
      <c r="Q12" s="44">
        <f>L19</f>
        <v>1</v>
      </c>
      <c r="R12" s="44">
        <f>L20</f>
        <v>0</v>
      </c>
      <c r="S12" s="44">
        <f>L21</f>
        <v>-1</v>
      </c>
      <c r="T12" s="3" t="s">
        <v>16</v>
      </c>
      <c r="U12" s="44" cm="1">
        <f t="array" ref="U12">MMULT($Q12:$S12,U$5:U$7)</f>
        <v>-1</v>
      </c>
      <c r="V12" s="44" cm="1">
        <f t="array" ref="V12">MMULT($Q12:$S12,V$5:V$7)</f>
        <v>-1</v>
      </c>
      <c r="W12" s="44" cm="1">
        <f t="array" ref="W12">MMULT($Q12:$S12,W$5:W$7)</f>
        <v>-2</v>
      </c>
      <c r="X12" s="44" cm="1">
        <f t="array" ref="X12">MMULT($Q12:$S12,X$5:X$7)</f>
        <v>1</v>
      </c>
    </row>
    <row r="13" spans="1:29" ht="13">
      <c r="C13" s="1" t="s">
        <v>20</v>
      </c>
      <c r="J13" s="4" t="s">
        <v>7</v>
      </c>
      <c r="K13" s="4" t="s">
        <v>8</v>
      </c>
      <c r="L13" s="4" t="s">
        <v>9</v>
      </c>
      <c r="M13" s="4" t="s">
        <v>10</v>
      </c>
      <c r="N13" s="6"/>
      <c r="O13" s="14"/>
      <c r="P13" s="4" t="s">
        <v>21</v>
      </c>
      <c r="Q13" s="44">
        <f>M19</f>
        <v>0</v>
      </c>
      <c r="R13" s="44">
        <f>M20</f>
        <v>0</v>
      </c>
      <c r="S13" s="44">
        <f>M21</f>
        <v>1</v>
      </c>
      <c r="T13" s="3" t="s">
        <v>16</v>
      </c>
      <c r="U13" s="44" cm="1">
        <f t="array" ref="U13">MMULT($Q13:$S13,U$5:U$7)</f>
        <v>3</v>
      </c>
      <c r="V13" s="44" cm="1">
        <f t="array" ref="V13">MMULT($Q13:$S13,V$5:V$7)</f>
        <v>2</v>
      </c>
      <c r="W13" s="44" cm="1">
        <f t="array" ref="W13">MMULT($Q13:$S13,W$5:W$7)</f>
        <v>2</v>
      </c>
      <c r="X13" s="44" cm="1">
        <f t="array" ref="X13">MMULT($Q13:$S13,X$5:X$7)</f>
        <v>1</v>
      </c>
    </row>
    <row r="14" spans="1:29" ht="13">
      <c r="C14" s="15">
        <v>1</v>
      </c>
      <c r="D14" s="16">
        <v>1</v>
      </c>
      <c r="E14" s="16">
        <v>0</v>
      </c>
      <c r="F14" s="16">
        <v>0</v>
      </c>
      <c r="G14" s="16">
        <v>0</v>
      </c>
      <c r="H14" s="17">
        <v>0</v>
      </c>
      <c r="I14" s="3" t="s">
        <v>16</v>
      </c>
      <c r="J14" s="44" cm="1">
        <f t="array" ref="J14">MMULT($C14:$H14,J$5:J$10)</f>
        <v>2</v>
      </c>
      <c r="K14" s="44" cm="1">
        <f t="array" ref="K14">MMULT($C14:$H14,K$5:K$10)</f>
        <v>1</v>
      </c>
      <c r="L14" s="44" cm="1">
        <f t="array" ref="L14">MMULT($C14:$H14,L$5:L$10)</f>
        <v>0</v>
      </c>
      <c r="M14" s="44" cm="1">
        <f t="array" ref="M14">MMULT($C14:$H14,M$5:M$10)</f>
        <v>2</v>
      </c>
      <c r="P14" s="6"/>
      <c r="Q14" s="38"/>
      <c r="R14" s="38"/>
      <c r="S14" s="38"/>
      <c r="U14" s="48" t="s">
        <v>22</v>
      </c>
    </row>
    <row r="15" spans="1:29" ht="13">
      <c r="C15" s="18">
        <v>0</v>
      </c>
      <c r="D15" s="19">
        <v>1</v>
      </c>
      <c r="E15" s="19">
        <v>0</v>
      </c>
      <c r="F15" s="19">
        <v>1</v>
      </c>
      <c r="G15" s="19">
        <v>0</v>
      </c>
      <c r="H15" s="20">
        <v>0</v>
      </c>
      <c r="I15" s="3" t="s">
        <v>16</v>
      </c>
      <c r="J15" s="44" cm="1">
        <f t="array" ref="J15">MMULT($C15:$H15,J$5:J$10)</f>
        <v>0</v>
      </c>
      <c r="K15" s="44" cm="1">
        <f t="array" ref="K15">MMULT($C15:$H15,K$5:K$10)</f>
        <v>1</v>
      </c>
      <c r="L15" s="44" cm="1">
        <f t="array" ref="L15">MMULT($C15:$H15,L$5:L$10)</f>
        <v>1</v>
      </c>
      <c r="M15" s="44" cm="1">
        <f t="array" ref="M15">MMULT($C15:$H15,M$5:M$10)</f>
        <v>1</v>
      </c>
      <c r="N15" s="21"/>
      <c r="O15" s="21"/>
      <c r="P15" s="6"/>
      <c r="U15" s="3" t="s">
        <v>14</v>
      </c>
      <c r="V15" s="3" t="s">
        <v>14</v>
      </c>
      <c r="W15" s="3" t="s">
        <v>14</v>
      </c>
      <c r="X15" s="3" t="s">
        <v>14</v>
      </c>
    </row>
    <row r="16" spans="1:29" ht="14" thickBot="1">
      <c r="C16" s="22">
        <v>0</v>
      </c>
      <c r="D16" s="23">
        <v>0</v>
      </c>
      <c r="E16" s="23">
        <v>1</v>
      </c>
      <c r="F16" s="23">
        <v>0</v>
      </c>
      <c r="G16" s="23">
        <v>1</v>
      </c>
      <c r="H16" s="24">
        <v>1</v>
      </c>
      <c r="I16" s="3" t="s">
        <v>16</v>
      </c>
      <c r="J16" s="44" cm="1">
        <f t="array" ref="J16">MMULT($C16:$H16,J$5:J$10)</f>
        <v>3</v>
      </c>
      <c r="K16" s="44" cm="1">
        <f t="array" ref="K16">MMULT($C16:$H16,K$5:K$10)</f>
        <v>2</v>
      </c>
      <c r="L16" s="44" cm="1">
        <f t="array" ref="L16">MMULT($C16:$H16,L$5:L$10)</f>
        <v>2</v>
      </c>
      <c r="M16" s="44" cm="1">
        <f t="array" ref="M16">MMULT($C16:$H16,M$5:M$10)</f>
        <v>1</v>
      </c>
      <c r="N16" s="21"/>
      <c r="O16" s="21"/>
      <c r="P16" s="6"/>
      <c r="Q16" s="25" t="s">
        <v>23</v>
      </c>
      <c r="R16" s="26"/>
      <c r="S16" s="26"/>
      <c r="U16" s="44">
        <f t="shared" ref="U16:X19" si="3">U10/SQRT(_dk)</f>
        <v>1.7320508075688774</v>
      </c>
      <c r="V16" s="44">
        <f t="shared" si="3"/>
        <v>1.1547005383792517</v>
      </c>
      <c r="W16" s="44">
        <f t="shared" si="3"/>
        <v>1.1547005383792517</v>
      </c>
      <c r="X16" s="44">
        <f t="shared" si="3"/>
        <v>0.57735026918962584</v>
      </c>
    </row>
    <row r="17" spans="1:29" ht="13">
      <c r="A17" s="4"/>
      <c r="J17" s="13" t="s">
        <v>24</v>
      </c>
      <c r="N17" s="21"/>
      <c r="O17" s="27" t="s">
        <v>25</v>
      </c>
      <c r="P17" s="6"/>
      <c r="Q17" s="4" t="s">
        <v>27</v>
      </c>
      <c r="U17" s="44">
        <f t="shared" si="3"/>
        <v>2.3094010767585034</v>
      </c>
      <c r="V17" s="44">
        <f t="shared" si="3"/>
        <v>1.7320508075688774</v>
      </c>
      <c r="W17" s="44">
        <f t="shared" si="3"/>
        <v>0.57735026918962584</v>
      </c>
      <c r="X17" s="44">
        <f t="shared" si="3"/>
        <v>2.8867513459481291</v>
      </c>
    </row>
    <row r="18" spans="1:29" ht="14" thickBot="1">
      <c r="C18" s="1" t="s">
        <v>26</v>
      </c>
      <c r="J18" s="4" t="s">
        <v>15</v>
      </c>
      <c r="K18" s="4" t="s">
        <v>17</v>
      </c>
      <c r="L18" s="4" t="s">
        <v>19</v>
      </c>
      <c r="M18" s="4" t="s">
        <v>21</v>
      </c>
      <c r="N18" s="6"/>
      <c r="O18" s="6"/>
      <c r="P18" s="14"/>
      <c r="U18" s="44">
        <f t="shared" si="3"/>
        <v>-0.57735026918962584</v>
      </c>
      <c r="V18" s="44">
        <f t="shared" si="3"/>
        <v>-0.57735026918962584</v>
      </c>
      <c r="W18" s="44">
        <f t="shared" si="3"/>
        <v>-1.1547005383792517</v>
      </c>
      <c r="X18" s="44">
        <f t="shared" si="3"/>
        <v>0.57735026918962584</v>
      </c>
    </row>
    <row r="19" spans="1:29" ht="13">
      <c r="C19" s="15">
        <v>0</v>
      </c>
      <c r="D19" s="16">
        <v>0</v>
      </c>
      <c r="E19" s="16">
        <v>1</v>
      </c>
      <c r="F19" s="16">
        <v>0</v>
      </c>
      <c r="G19" s="16">
        <v>0</v>
      </c>
      <c r="H19" s="17">
        <v>0</v>
      </c>
      <c r="I19" s="3" t="s">
        <v>16</v>
      </c>
      <c r="J19" s="44" cm="1">
        <f t="array" ref="J19">MMULT($C19:$H19,J$5:J$10)</f>
        <v>0</v>
      </c>
      <c r="K19" s="44" cm="1">
        <f t="array" ref="K19">MMULT($C19:$H19,K$5:K$10)</f>
        <v>2</v>
      </c>
      <c r="L19" s="44" cm="1">
        <f t="array" ref="L19">MMULT($C19:$H19,L$5:L$10)</f>
        <v>1</v>
      </c>
      <c r="M19" s="44" cm="1">
        <f t="array" ref="M19">MMULT($C19:$H19,M$5:M$10)</f>
        <v>0</v>
      </c>
      <c r="Q19" s="28"/>
      <c r="U19" s="44">
        <f t="shared" si="3"/>
        <v>1.7320508075688774</v>
      </c>
      <c r="V19" s="44">
        <f t="shared" si="3"/>
        <v>1.1547005383792517</v>
      </c>
      <c r="W19" s="44">
        <f t="shared" si="3"/>
        <v>1.1547005383792517</v>
      </c>
      <c r="X19" s="44">
        <f t="shared" si="3"/>
        <v>0.57735026918962584</v>
      </c>
    </row>
    <row r="20" spans="1:29" ht="13">
      <c r="C20" s="18">
        <v>0</v>
      </c>
      <c r="D20" s="19">
        <v>1</v>
      </c>
      <c r="E20" s="19">
        <v>0</v>
      </c>
      <c r="F20" s="19">
        <v>0</v>
      </c>
      <c r="G20" s="19">
        <v>0</v>
      </c>
      <c r="H20" s="20">
        <v>0</v>
      </c>
      <c r="I20" s="3" t="s">
        <v>16</v>
      </c>
      <c r="J20" s="44" cm="1">
        <f t="array" ref="J20">MMULT($C20:$H20,J$5:J$10)</f>
        <v>0</v>
      </c>
      <c r="K20" s="44" cm="1">
        <f t="array" ref="K20">MMULT($C20:$H20,K$5:K$10)</f>
        <v>1</v>
      </c>
      <c r="L20" s="44" cm="1">
        <f t="array" ref="L20">MMULT($C20:$H20,L$5:L$10)</f>
        <v>0</v>
      </c>
      <c r="M20" s="44" cm="1">
        <f t="array" ref="M20">MMULT($C20:$H20,M$5:M$10)</f>
        <v>0</v>
      </c>
      <c r="U20" s="3" t="s">
        <v>14</v>
      </c>
      <c r="V20" s="3" t="s">
        <v>14</v>
      </c>
      <c r="W20" s="3" t="s">
        <v>14</v>
      </c>
      <c r="X20" s="3" t="s">
        <v>14</v>
      </c>
    </row>
    <row r="21" spans="1:29" ht="14" thickBot="1">
      <c r="C21" s="22">
        <v>1</v>
      </c>
      <c r="D21" s="23">
        <v>0</v>
      </c>
      <c r="E21" s="23">
        <v>0</v>
      </c>
      <c r="F21" s="23">
        <v>0</v>
      </c>
      <c r="G21" s="23">
        <v>0</v>
      </c>
      <c r="H21" s="24">
        <v>-1</v>
      </c>
      <c r="I21" s="3" t="s">
        <v>16</v>
      </c>
      <c r="J21" s="44" cm="1">
        <f t="array" ref="J21">MMULT($C21:$H21,J$5:J$10)</f>
        <v>1</v>
      </c>
      <c r="K21" s="44" cm="1">
        <f t="array" ref="K21">MMULT($C21:$H21,K$5:K$10)</f>
        <v>0</v>
      </c>
      <c r="L21" s="44" cm="1">
        <f t="array" ref="L21">MMULT($C21:$H21,L$5:L$10)</f>
        <v>-1</v>
      </c>
      <c r="M21" s="44" cm="1">
        <f t="array" ref="M21">MMULT($C21:$H21,M$5:M$10)</f>
        <v>1</v>
      </c>
      <c r="P21" s="4"/>
      <c r="Q21" s="51" t="s">
        <v>28</v>
      </c>
      <c r="R21" s="52"/>
      <c r="S21" s="52"/>
      <c r="T21" s="4"/>
      <c r="U21" s="53">
        <f>EXP(U16)</f>
        <v>5.6522336740340924</v>
      </c>
      <c r="V21" s="53">
        <f t="shared" ref="V21:X21" si="4">EXP(V16)</f>
        <v>3.1730730616353542</v>
      </c>
      <c r="W21" s="53">
        <f t="shared" si="4"/>
        <v>3.1730730616353542</v>
      </c>
      <c r="X21" s="53">
        <f t="shared" si="4"/>
        <v>1.7813121741108027</v>
      </c>
      <c r="Y21" s="4"/>
    </row>
    <row r="22" spans="1:29" ht="13">
      <c r="P22" s="4"/>
      <c r="Q22" s="4" t="s">
        <v>29</v>
      </c>
      <c r="U22" s="53">
        <f t="shared" ref="U22:X22" si="5">EXP(U17)</f>
        <v>10.068392654475961</v>
      </c>
      <c r="V22" s="53">
        <f t="shared" si="5"/>
        <v>5.6522336740340924</v>
      </c>
      <c r="W22" s="53">
        <f t="shared" si="5"/>
        <v>1.7813121741108027</v>
      </c>
      <c r="X22" s="53">
        <f t="shared" si="5"/>
        <v>17.934950409145806</v>
      </c>
      <c r="AC22" s="37"/>
    </row>
    <row r="23" spans="1:29" ht="13">
      <c r="I23" s="3"/>
      <c r="P23" s="4"/>
      <c r="Q23" s="4" t="s">
        <v>30</v>
      </c>
      <c r="U23" s="53">
        <f t="shared" ref="U23:X23" si="6">EXP(U18)</f>
        <v>0.56138391379892816</v>
      </c>
      <c r="V23" s="53">
        <f t="shared" si="6"/>
        <v>0.56138391379892816</v>
      </c>
      <c r="W23" s="53">
        <f t="shared" si="6"/>
        <v>0.31515189867220234</v>
      </c>
      <c r="X23" s="53">
        <f t="shared" si="6"/>
        <v>1.7813121741108027</v>
      </c>
      <c r="Y23" s="4"/>
      <c r="AC23" s="37"/>
    </row>
    <row r="24" spans="1:29" ht="14">
      <c r="P24" s="4"/>
      <c r="Q24" s="29"/>
      <c r="U24" s="53">
        <f t="shared" ref="U24:X24" si="7">EXP(U19)</f>
        <v>5.6522336740340924</v>
      </c>
      <c r="V24" s="53">
        <f t="shared" si="7"/>
        <v>3.1730730616353542</v>
      </c>
      <c r="W24" s="53">
        <f t="shared" si="7"/>
        <v>3.1730730616353542</v>
      </c>
      <c r="X24" s="53">
        <f t="shared" si="7"/>
        <v>1.7813121741108027</v>
      </c>
      <c r="Y24" s="48" t="s">
        <v>31</v>
      </c>
    </row>
    <row r="25" spans="1:29" ht="13">
      <c r="P25" s="4"/>
      <c r="Q25" s="4" t="s">
        <v>32</v>
      </c>
      <c r="S25" s="21"/>
      <c r="T25" s="21"/>
      <c r="U25" s="3" t="s">
        <v>33</v>
      </c>
      <c r="V25" s="3" t="s">
        <v>33</v>
      </c>
      <c r="W25" s="3" t="s">
        <v>33</v>
      </c>
      <c r="X25" s="3" t="s">
        <v>33</v>
      </c>
      <c r="Y25" s="48" t="s">
        <v>33</v>
      </c>
    </row>
    <row r="26" spans="1:29" ht="13">
      <c r="P26" s="31"/>
      <c r="Q26" s="50"/>
      <c r="S26" s="6"/>
      <c r="T26" s="30" t="s">
        <v>34</v>
      </c>
      <c r="U26" s="54">
        <f>SUM(U21:U24)</f>
        <v>21.934243916343075</v>
      </c>
      <c r="V26" s="54">
        <f>SUM(V21:V24)</f>
        <v>12.559763711103727</v>
      </c>
      <c r="W26" s="54">
        <f>SUM(W21:W24)</f>
        <v>8.4426101960537139</v>
      </c>
      <c r="X26" s="54">
        <f>SUM(X21:X24)</f>
        <v>23.278886931478212</v>
      </c>
      <c r="Y26" s="48" t="s">
        <v>35</v>
      </c>
    </row>
    <row r="27" spans="1:29" ht="13">
      <c r="P27" s="4"/>
      <c r="Q27" s="4"/>
      <c r="R27" s="27"/>
      <c r="S27" s="4"/>
      <c r="T27" s="30"/>
      <c r="U27" s="3"/>
      <c r="V27" s="3"/>
      <c r="W27" s="3"/>
      <c r="X27" s="3"/>
      <c r="Y27" s="4"/>
    </row>
    <row r="28" spans="1:29" ht="13">
      <c r="P28" s="31"/>
      <c r="R28" s="27"/>
      <c r="S28" s="36"/>
      <c r="T28" s="36"/>
      <c r="U28" s="48" t="s">
        <v>36</v>
      </c>
      <c r="V28" s="36"/>
      <c r="W28" s="2"/>
      <c r="X28" s="2"/>
      <c r="Y28" s="36"/>
      <c r="Z28" s="36"/>
      <c r="AA28" s="36"/>
      <c r="AC28" s="37"/>
    </row>
    <row r="29" spans="1:29" ht="13">
      <c r="P29" s="31"/>
      <c r="R29" s="27"/>
      <c r="T29" s="30"/>
      <c r="U29" s="3" t="s">
        <v>14</v>
      </c>
      <c r="V29" s="3" t="s">
        <v>14</v>
      </c>
      <c r="W29" s="3" t="s">
        <v>14</v>
      </c>
      <c r="X29" s="3" t="s">
        <v>14</v>
      </c>
    </row>
    <row r="30" spans="1:29" ht="13">
      <c r="R30" s="32"/>
      <c r="S30" s="27"/>
      <c r="T30" s="33"/>
      <c r="U30" s="45">
        <f t="shared" ref="U30:X33" si="8">U21/U$26</f>
        <v>0.25768992519603773</v>
      </c>
      <c r="V30" s="45">
        <f t="shared" si="8"/>
        <v>0.25263795837417952</v>
      </c>
      <c r="W30" s="45">
        <f t="shared" si="8"/>
        <v>0.37584028966758737</v>
      </c>
      <c r="X30" s="45">
        <f t="shared" si="8"/>
        <v>7.652050458229058E-2</v>
      </c>
      <c r="Y30" s="3"/>
      <c r="Z30" s="34" t="s">
        <v>37</v>
      </c>
    </row>
    <row r="31" spans="1:29" ht="13">
      <c r="U31" s="45">
        <f t="shared" si="8"/>
        <v>0.45902620089740415</v>
      </c>
      <c r="V31" s="45">
        <f t="shared" si="8"/>
        <v>0.45002707089442412</v>
      </c>
      <c r="W31" s="45">
        <f t="shared" si="8"/>
        <v>0.21099069277691304</v>
      </c>
      <c r="X31" s="45">
        <f t="shared" si="8"/>
        <v>0.77043848625312839</v>
      </c>
      <c r="Y31" s="3"/>
      <c r="Z31" s="34" t="s">
        <v>38</v>
      </c>
    </row>
    <row r="32" spans="1:29" ht="13">
      <c r="U32" s="45">
        <f t="shared" si="8"/>
        <v>2.5593948710520373E-2</v>
      </c>
      <c r="V32" s="45">
        <f t="shared" si="8"/>
        <v>4.4697012357216938E-2</v>
      </c>
      <c r="W32" s="45">
        <f t="shared" si="8"/>
        <v>3.7328727887912222E-2</v>
      </c>
      <c r="X32" s="45">
        <f t="shared" si="8"/>
        <v>7.652050458229058E-2</v>
      </c>
      <c r="Y32" s="3"/>
      <c r="Z32" s="34" t="s">
        <v>39</v>
      </c>
    </row>
    <row r="33" spans="1:29" ht="13">
      <c r="U33" s="45">
        <f t="shared" si="8"/>
        <v>0.25768992519603773</v>
      </c>
      <c r="V33" s="45">
        <f t="shared" si="8"/>
        <v>0.25263795837417952</v>
      </c>
      <c r="W33" s="45">
        <f t="shared" si="8"/>
        <v>0.37584028966758737</v>
      </c>
      <c r="X33" s="45">
        <f t="shared" si="8"/>
        <v>7.652050458229058E-2</v>
      </c>
    </row>
    <row r="34" spans="1:29" ht="13">
      <c r="U34" s="3" t="s">
        <v>14</v>
      </c>
      <c r="V34" s="3" t="s">
        <v>14</v>
      </c>
      <c r="W34" s="3" t="s">
        <v>14</v>
      </c>
      <c r="X34" s="3" t="s">
        <v>14</v>
      </c>
      <c r="AC34" s="47"/>
    </row>
    <row r="35" spans="1:29" ht="13">
      <c r="B35" s="1"/>
      <c r="C35" s="3"/>
      <c r="D35" s="3"/>
      <c r="E35" s="3"/>
      <c r="F35" s="3"/>
      <c r="G35" s="3"/>
      <c r="H35" s="3"/>
      <c r="J35" s="13" t="s">
        <v>40</v>
      </c>
      <c r="K35" s="49" t="s">
        <v>41</v>
      </c>
      <c r="N35" s="3"/>
      <c r="Q35" s="10" t="s">
        <v>42</v>
      </c>
      <c r="R35" s="12"/>
      <c r="S35" s="12"/>
      <c r="U35" s="48" t="s">
        <v>43</v>
      </c>
      <c r="W35" s="4"/>
      <c r="X35" s="4"/>
    </row>
    <row r="36" spans="1:29" ht="15" thickBot="1">
      <c r="C36" s="1" t="s">
        <v>44</v>
      </c>
      <c r="D36" s="3"/>
      <c r="E36" s="3"/>
      <c r="F36" s="3"/>
      <c r="G36" s="3"/>
      <c r="H36" s="3"/>
      <c r="I36" s="3"/>
      <c r="J36" s="4" t="s">
        <v>45</v>
      </c>
      <c r="K36" s="4" t="s">
        <v>46</v>
      </c>
      <c r="L36" s="4" t="s">
        <v>47</v>
      </c>
      <c r="M36" s="4" t="s">
        <v>48</v>
      </c>
      <c r="N36" s="3"/>
      <c r="S36" s="29"/>
      <c r="T36" s="3"/>
      <c r="U36" s="4" t="s">
        <v>49</v>
      </c>
      <c r="V36" s="4" t="s">
        <v>50</v>
      </c>
      <c r="W36" s="4" t="s">
        <v>51</v>
      </c>
      <c r="X36" s="4" t="s">
        <v>52</v>
      </c>
    </row>
    <row r="37" spans="1:29" ht="13">
      <c r="C37" s="15">
        <v>10</v>
      </c>
      <c r="D37" s="16">
        <v>0</v>
      </c>
      <c r="E37" s="16">
        <v>0</v>
      </c>
      <c r="F37" s="16">
        <v>0</v>
      </c>
      <c r="G37" s="16">
        <v>0</v>
      </c>
      <c r="H37" s="17">
        <v>0</v>
      </c>
      <c r="I37" s="3" t="s">
        <v>16</v>
      </c>
      <c r="J37" s="44" cm="1">
        <f t="array" ref="J37">MMULT($C37:$H37,J$5:J$10)</f>
        <v>20</v>
      </c>
      <c r="K37" s="44" cm="1">
        <f t="array" ref="K37">MMULT($C37:$H37,K$5:K$10)</f>
        <v>0</v>
      </c>
      <c r="L37" s="44" cm="1">
        <f t="array" ref="L37">MMULT($C37:$H37,L$5:L$10)</f>
        <v>0</v>
      </c>
      <c r="M37" s="44" cm="1">
        <f t="array" ref="M37">MMULT($C37:$H37,M$5:M$10)</f>
        <v>20</v>
      </c>
      <c r="N37" s="3" t="s">
        <v>53</v>
      </c>
      <c r="O37" s="3" t="s">
        <v>53</v>
      </c>
      <c r="P37" s="3" t="s">
        <v>53</v>
      </c>
      <c r="Q37" s="3" t="s">
        <v>53</v>
      </c>
      <c r="R37" s="3" t="s">
        <v>53</v>
      </c>
      <c r="S37" s="3" t="s">
        <v>53</v>
      </c>
      <c r="T37" s="3" t="s">
        <v>16</v>
      </c>
      <c r="U37" s="46" cm="1">
        <f t="array" ref="U37">MMULT($J37:$M37,U$30:U$33)</f>
        <v>10.307597007841508</v>
      </c>
      <c r="V37" s="46" cm="1">
        <f t="array" ref="V37">MMULT($J37:$M37,V$30:V$33)</f>
        <v>10.105518334967181</v>
      </c>
      <c r="W37" s="46" cm="1">
        <f t="array" ref="W37">MMULT($J37:$M37,W$30:W$33)</f>
        <v>15.033611586703495</v>
      </c>
      <c r="X37" s="46" cm="1">
        <f t="array" ref="X37">MMULT($J37:$M37,X$30:X$33)</f>
        <v>3.0608201832916233</v>
      </c>
      <c r="Z37" s="4" t="s">
        <v>37</v>
      </c>
    </row>
    <row r="38" spans="1:29" ht="13">
      <c r="C38" s="18">
        <v>0</v>
      </c>
      <c r="D38" s="19">
        <v>0</v>
      </c>
      <c r="E38" s="19">
        <v>0</v>
      </c>
      <c r="F38" s="19">
        <v>10</v>
      </c>
      <c r="G38" s="19">
        <v>0</v>
      </c>
      <c r="H38" s="20">
        <v>0</v>
      </c>
      <c r="I38" s="3" t="s">
        <v>16</v>
      </c>
      <c r="J38" s="44" cm="1">
        <f t="array" ref="J38">MMULT($C38:$H38,J$5:J$10)</f>
        <v>0</v>
      </c>
      <c r="K38" s="44" cm="1">
        <f t="array" ref="K38">MMULT($C38:$H38,K$5:K$10)</f>
        <v>0</v>
      </c>
      <c r="L38" s="44" cm="1">
        <f t="array" ref="L38">MMULT($C38:$H38,L$5:L$10)</f>
        <v>10</v>
      </c>
      <c r="M38" s="44" cm="1">
        <f t="array" ref="M38">MMULT($C38:$H38,M$5:M$10)</f>
        <v>10</v>
      </c>
      <c r="N38" s="3" t="s">
        <v>53</v>
      </c>
      <c r="O38" s="3" t="s">
        <v>53</v>
      </c>
      <c r="P38" s="3" t="s">
        <v>53</v>
      </c>
      <c r="Q38" s="3" t="s">
        <v>53</v>
      </c>
      <c r="R38" s="3" t="s">
        <v>53</v>
      </c>
      <c r="S38" s="3" t="s">
        <v>53</v>
      </c>
      <c r="T38" s="3" t="s">
        <v>16</v>
      </c>
      <c r="U38" s="46" cm="1">
        <f t="array" ref="U38">MMULT($J38:$M38,U$30:U$33)</f>
        <v>2.8328387390655809</v>
      </c>
      <c r="V38" s="46" cm="1">
        <f t="array" ref="V38">MMULT($J38:$M38,V$30:V$33)</f>
        <v>2.9733497073139645</v>
      </c>
      <c r="W38" s="46" cm="1">
        <f t="array" ref="W38">MMULT($J38:$M38,W$30:W$33)</f>
        <v>4.1316901755549962</v>
      </c>
      <c r="X38" s="46" cm="1">
        <f t="array" ref="X38">MMULT($J38:$M38,X$30:X$33)</f>
        <v>1.5304100916458117</v>
      </c>
      <c r="Z38" s="4" t="s">
        <v>54</v>
      </c>
    </row>
    <row r="39" spans="1:29" ht="13">
      <c r="C39" s="22">
        <v>0</v>
      </c>
      <c r="D39" s="23">
        <v>10</v>
      </c>
      <c r="E39" s="23">
        <v>0</v>
      </c>
      <c r="F39" s="23">
        <v>0</v>
      </c>
      <c r="G39" s="23">
        <v>0</v>
      </c>
      <c r="H39" s="24">
        <v>0</v>
      </c>
      <c r="I39" s="3" t="s">
        <v>16</v>
      </c>
      <c r="J39" s="44" cm="1">
        <f t="array" ref="J39">MMULT($C39:$H39,J$5:J$10)</f>
        <v>0</v>
      </c>
      <c r="K39" s="44" cm="1">
        <f t="array" ref="K39">MMULT($C39:$H39,K$5:K$10)</f>
        <v>10</v>
      </c>
      <c r="L39" s="44" cm="1">
        <f t="array" ref="L39">MMULT($C39:$H39,L$5:L$10)</f>
        <v>0</v>
      </c>
      <c r="M39" s="44" cm="1">
        <f t="array" ref="M39">MMULT($C39:$H39,M$5:M$10)</f>
        <v>0</v>
      </c>
      <c r="N39" s="3" t="s">
        <v>53</v>
      </c>
      <c r="O39" s="3" t="s">
        <v>53</v>
      </c>
      <c r="P39" s="3" t="s">
        <v>53</v>
      </c>
      <c r="Q39" s="3" t="s">
        <v>53</v>
      </c>
      <c r="R39" s="3" t="s">
        <v>53</v>
      </c>
      <c r="S39" s="3" t="s">
        <v>53</v>
      </c>
      <c r="T39" s="3" t="s">
        <v>16</v>
      </c>
      <c r="U39" s="46" cm="1">
        <f t="array" ref="U39">MMULT($J39:$M39,U$30:U$33)</f>
        <v>4.5902620089740411</v>
      </c>
      <c r="V39" s="46" cm="1">
        <f t="array" ref="V39">MMULT($J39:$M39,V$30:V$33)</f>
        <v>4.5002707089442415</v>
      </c>
      <c r="W39" s="46" cm="1">
        <f t="array" ref="W39">MMULT($J39:$M39,W$30:W$33)</f>
        <v>2.1099069277691305</v>
      </c>
      <c r="X39" s="46" cm="1">
        <f t="array" ref="X39">MMULT($J39:$M39,X$30:X$33)</f>
        <v>7.7043848625312839</v>
      </c>
      <c r="Z39" s="4" t="s">
        <v>55</v>
      </c>
    </row>
    <row r="40" spans="1:29" ht="13">
      <c r="U40" s="3" t="s">
        <v>14</v>
      </c>
      <c r="V40" s="3" t="s">
        <v>14</v>
      </c>
      <c r="W40" s="3" t="s">
        <v>14</v>
      </c>
      <c r="X40" s="3" t="s">
        <v>14</v>
      </c>
    </row>
    <row r="41" spans="1:29" ht="13">
      <c r="U41" s="37" t="s">
        <v>120</v>
      </c>
      <c r="V41" s="3"/>
      <c r="W41" s="3"/>
      <c r="X41" s="3"/>
    </row>
    <row r="42" spans="1:29" ht="13">
      <c r="A42" s="35"/>
      <c r="U42" s="3"/>
      <c r="V42" s="3"/>
      <c r="W42" s="3"/>
      <c r="X42" s="3"/>
    </row>
    <row r="43" spans="1:29" ht="13">
      <c r="A43" s="35"/>
      <c r="U43" s="3"/>
      <c r="V43" s="3"/>
      <c r="W43" s="3"/>
      <c r="X43" s="3"/>
    </row>
    <row r="44" spans="1:29" ht="13">
      <c r="U44" s="3"/>
      <c r="V44" s="3"/>
      <c r="W44" s="3"/>
      <c r="X44" s="3"/>
    </row>
    <row r="45" spans="1:29" ht="13">
      <c r="U45" s="3"/>
      <c r="V45" s="3"/>
      <c r="W45" s="3"/>
      <c r="X45" s="3"/>
    </row>
    <row r="46" spans="1:29" ht="13">
      <c r="U46" s="3"/>
      <c r="V46" s="3"/>
      <c r="W46" s="3"/>
      <c r="X46" s="3"/>
    </row>
    <row r="47" spans="1:29" ht="13">
      <c r="U47" s="3"/>
      <c r="V47" s="3"/>
      <c r="W47" s="3"/>
      <c r="X47" s="3"/>
    </row>
    <row r="48" spans="1:29" ht="13">
      <c r="U48" s="3"/>
      <c r="V48" s="3"/>
      <c r="W48" s="3"/>
      <c r="X48" s="3"/>
    </row>
    <row r="49" spans="21:24" ht="13">
      <c r="U49" s="3"/>
      <c r="V49" s="3"/>
      <c r="W49" s="3"/>
      <c r="X49" s="3"/>
    </row>
    <row r="50" spans="21:24" ht="13">
      <c r="U50" s="3"/>
      <c r="V50" s="3"/>
      <c r="W50" s="3"/>
      <c r="X50" s="3"/>
    </row>
    <row r="51" spans="21:24" ht="13">
      <c r="U51" s="3"/>
      <c r="V51" s="3"/>
      <c r="W51" s="3"/>
      <c r="X51" s="3"/>
    </row>
    <row r="52" spans="21:24" ht="13">
      <c r="U52" s="3"/>
      <c r="V52" s="3"/>
      <c r="W52" s="3"/>
      <c r="X52" s="3"/>
    </row>
    <row r="53" spans="21:24" ht="13">
      <c r="U53" s="3"/>
      <c r="V53" s="3"/>
      <c r="W53" s="3"/>
      <c r="X53" s="3"/>
    </row>
    <row r="54" spans="21:24" ht="13">
      <c r="U54" s="3"/>
      <c r="V54" s="3"/>
      <c r="W54" s="3"/>
      <c r="X54" s="3"/>
    </row>
    <row r="55" spans="21:24" ht="13">
      <c r="U55" s="3"/>
      <c r="V55" s="3"/>
      <c r="W55" s="3"/>
      <c r="X55" s="3"/>
    </row>
    <row r="56" spans="21:24" ht="13">
      <c r="U56" s="3"/>
      <c r="V56" s="3"/>
      <c r="W56" s="3"/>
      <c r="X56" s="3"/>
    </row>
    <row r="57" spans="21:24" ht="13">
      <c r="U57" s="3"/>
      <c r="V57" s="3"/>
      <c r="W57" s="3"/>
      <c r="X57" s="3"/>
    </row>
    <row r="58" spans="21:24" ht="13">
      <c r="U58" s="3"/>
      <c r="V58" s="3"/>
      <c r="W58" s="3"/>
      <c r="X58" s="3"/>
    </row>
    <row r="59" spans="21:24" ht="13">
      <c r="U59" s="3"/>
      <c r="V59" s="3"/>
      <c r="W59" s="3"/>
      <c r="X59" s="3"/>
    </row>
    <row r="60" spans="21:24" ht="13">
      <c r="U60" s="3"/>
      <c r="V60" s="3"/>
      <c r="W60" s="3"/>
      <c r="X60" s="3"/>
    </row>
    <row r="61" spans="21:24" ht="13">
      <c r="U61" s="3"/>
      <c r="V61" s="3"/>
      <c r="W61" s="3"/>
      <c r="X61" s="3"/>
    </row>
    <row r="62" spans="21:24" ht="13">
      <c r="U62" s="3"/>
      <c r="V62" s="3"/>
      <c r="W62" s="3"/>
      <c r="X62" s="3"/>
    </row>
    <row r="63" spans="21:24" ht="13">
      <c r="U63" s="3"/>
      <c r="V63" s="3"/>
      <c r="W63" s="3"/>
      <c r="X63" s="3"/>
    </row>
    <row r="64" spans="21:24" ht="13">
      <c r="U64" s="3"/>
      <c r="V64" s="3"/>
      <c r="W64" s="3"/>
      <c r="X64" s="3"/>
    </row>
    <row r="65" spans="21:24" ht="13">
      <c r="U65" s="3"/>
      <c r="V65" s="3"/>
      <c r="W65" s="3"/>
      <c r="X65" s="3"/>
    </row>
    <row r="66" spans="21:24" ht="13">
      <c r="U66" s="3"/>
      <c r="V66" s="3"/>
      <c r="W66" s="3"/>
      <c r="X66" s="3"/>
    </row>
    <row r="67" spans="21:24" ht="13">
      <c r="U67" s="3"/>
      <c r="V67" s="3"/>
      <c r="W67" s="3"/>
      <c r="X67" s="3"/>
    </row>
    <row r="68" spans="21:24" ht="13">
      <c r="U68" s="3"/>
      <c r="V68" s="3"/>
      <c r="W68" s="3"/>
      <c r="X68" s="3"/>
    </row>
    <row r="69" spans="21:24" ht="13">
      <c r="U69" s="3"/>
      <c r="V69" s="3"/>
      <c r="W69" s="3"/>
      <c r="X69" s="3"/>
    </row>
    <row r="70" spans="21:24" ht="13">
      <c r="U70" s="3"/>
      <c r="V70" s="3"/>
      <c r="W70" s="3"/>
      <c r="X70" s="3"/>
    </row>
    <row r="71" spans="21:24" ht="13">
      <c r="U71" s="3"/>
      <c r="V71" s="3"/>
      <c r="W71" s="3"/>
      <c r="X71" s="3"/>
    </row>
    <row r="72" spans="21:24" ht="13">
      <c r="U72" s="3"/>
      <c r="V72" s="3"/>
      <c r="W72" s="3"/>
      <c r="X72" s="3"/>
    </row>
    <row r="73" spans="21:24" ht="13">
      <c r="U73" s="3"/>
      <c r="V73" s="3"/>
      <c r="W73" s="3"/>
      <c r="X73" s="3"/>
    </row>
    <row r="74" spans="21:24" ht="13">
      <c r="U74" s="3"/>
      <c r="V74" s="3"/>
      <c r="W74" s="3"/>
      <c r="X74" s="3"/>
    </row>
    <row r="75" spans="21:24" ht="13">
      <c r="U75" s="3"/>
      <c r="V75" s="3"/>
      <c r="W75" s="3"/>
      <c r="X75" s="3"/>
    </row>
    <row r="76" spans="21:24" ht="13">
      <c r="U76" s="3"/>
      <c r="V76" s="3"/>
      <c r="W76" s="3"/>
      <c r="X76" s="3"/>
    </row>
    <row r="77" spans="21:24" ht="13">
      <c r="U77" s="3"/>
      <c r="V77" s="3"/>
      <c r="W77" s="3"/>
      <c r="X77" s="3"/>
    </row>
    <row r="78" spans="21:24" ht="13">
      <c r="U78" s="3"/>
      <c r="V78" s="3"/>
      <c r="W78" s="3"/>
      <c r="X78" s="3"/>
    </row>
    <row r="79" spans="21:24" ht="13">
      <c r="U79" s="3"/>
      <c r="V79" s="3"/>
      <c r="W79" s="3"/>
      <c r="X79" s="3"/>
    </row>
    <row r="80" spans="21:24" ht="13">
      <c r="U80" s="3"/>
      <c r="V80" s="3"/>
      <c r="W80" s="3"/>
      <c r="X80" s="3"/>
    </row>
    <row r="81" spans="21:24" ht="13">
      <c r="U81" s="3"/>
      <c r="V81" s="3"/>
      <c r="W81" s="3"/>
      <c r="X81" s="3"/>
    </row>
    <row r="82" spans="21:24" ht="13">
      <c r="U82" s="3"/>
      <c r="V82" s="3"/>
      <c r="W82" s="3"/>
      <c r="X82" s="3"/>
    </row>
    <row r="83" spans="21:24" ht="13">
      <c r="U83" s="3"/>
      <c r="V83" s="3"/>
      <c r="W83" s="3"/>
      <c r="X83" s="3"/>
    </row>
    <row r="84" spans="21:24" ht="13">
      <c r="U84" s="3"/>
      <c r="V84" s="3"/>
      <c r="W84" s="3"/>
      <c r="X84" s="3"/>
    </row>
    <row r="85" spans="21:24" ht="13">
      <c r="U85" s="3"/>
      <c r="V85" s="3"/>
      <c r="W85" s="3"/>
      <c r="X85" s="3"/>
    </row>
    <row r="86" spans="21:24" ht="13">
      <c r="U86" s="3"/>
      <c r="V86" s="3"/>
      <c r="W86" s="3"/>
      <c r="X86" s="3"/>
    </row>
    <row r="87" spans="21:24" ht="13">
      <c r="U87" s="3"/>
      <c r="V87" s="3"/>
      <c r="W87" s="3"/>
      <c r="X87" s="3"/>
    </row>
    <row r="88" spans="21:24" ht="13">
      <c r="U88" s="3"/>
      <c r="V88" s="3"/>
      <c r="W88" s="3"/>
      <c r="X88" s="3"/>
    </row>
    <row r="89" spans="21:24" ht="13">
      <c r="U89" s="3"/>
      <c r="V89" s="3"/>
      <c r="W89" s="3"/>
      <c r="X89" s="3"/>
    </row>
    <row r="90" spans="21:24" ht="13">
      <c r="U90" s="3"/>
      <c r="V90" s="3"/>
      <c r="W90" s="3"/>
      <c r="X90" s="3"/>
    </row>
    <row r="91" spans="21:24" ht="13">
      <c r="U91" s="3"/>
      <c r="V91" s="3"/>
      <c r="W91" s="3"/>
      <c r="X91" s="3"/>
    </row>
    <row r="92" spans="21:24" ht="13">
      <c r="U92" s="3"/>
      <c r="V92" s="3"/>
      <c r="W92" s="3"/>
      <c r="X92" s="3"/>
    </row>
    <row r="93" spans="21:24" ht="13">
      <c r="U93" s="3"/>
      <c r="V93" s="3"/>
      <c r="W93" s="3"/>
      <c r="X93" s="3"/>
    </row>
    <row r="94" spans="21:24" ht="13">
      <c r="U94" s="3"/>
      <c r="V94" s="3"/>
      <c r="W94" s="3"/>
      <c r="X94" s="3"/>
    </row>
    <row r="95" spans="21:24" ht="13">
      <c r="U95" s="3"/>
      <c r="V95" s="3"/>
      <c r="W95" s="3"/>
      <c r="X95" s="3"/>
    </row>
    <row r="96" spans="21:24" ht="13">
      <c r="U96" s="3"/>
      <c r="V96" s="3"/>
      <c r="W96" s="3"/>
      <c r="X96" s="3"/>
    </row>
    <row r="97" spans="21:24" ht="13">
      <c r="U97" s="3"/>
      <c r="V97" s="3"/>
      <c r="W97" s="3"/>
      <c r="X97" s="3"/>
    </row>
    <row r="98" spans="21:24" ht="13">
      <c r="U98" s="3"/>
      <c r="V98" s="3"/>
      <c r="W98" s="3"/>
      <c r="X98" s="3"/>
    </row>
    <row r="99" spans="21:24" ht="13">
      <c r="U99" s="3"/>
      <c r="V99" s="3"/>
      <c r="W99" s="3"/>
      <c r="X99" s="3"/>
    </row>
    <row r="100" spans="21:24" ht="13">
      <c r="U100" s="3"/>
      <c r="V100" s="3"/>
      <c r="W100" s="3"/>
      <c r="X100" s="3"/>
    </row>
    <row r="101" spans="21:24" ht="13">
      <c r="U101" s="3"/>
      <c r="V101" s="3"/>
      <c r="W101" s="3"/>
      <c r="X101" s="3"/>
    </row>
    <row r="102" spans="21:24" ht="13">
      <c r="U102" s="3"/>
      <c r="V102" s="3"/>
      <c r="W102" s="3"/>
      <c r="X102" s="3"/>
    </row>
    <row r="103" spans="21:24" ht="13">
      <c r="U103" s="3"/>
      <c r="V103" s="3"/>
      <c r="W103" s="3"/>
      <c r="X103" s="3"/>
    </row>
    <row r="104" spans="21:24" ht="13">
      <c r="U104" s="3"/>
      <c r="V104" s="3"/>
      <c r="W104" s="3"/>
      <c r="X104" s="3"/>
    </row>
    <row r="105" spans="21:24" ht="13">
      <c r="U105" s="3"/>
      <c r="V105" s="3"/>
      <c r="W105" s="3"/>
      <c r="X105" s="3"/>
    </row>
    <row r="106" spans="21:24" ht="13">
      <c r="U106" s="3"/>
      <c r="V106" s="3"/>
      <c r="W106" s="3"/>
      <c r="X106" s="3"/>
    </row>
    <row r="107" spans="21:24" ht="13">
      <c r="U107" s="3"/>
      <c r="V107" s="3"/>
      <c r="W107" s="3"/>
      <c r="X107" s="3"/>
    </row>
    <row r="108" spans="21:24" ht="13">
      <c r="U108" s="3"/>
      <c r="V108" s="3"/>
      <c r="W108" s="3"/>
      <c r="X108" s="3"/>
    </row>
    <row r="109" spans="21:24" ht="13">
      <c r="U109" s="3"/>
      <c r="V109" s="3"/>
      <c r="W109" s="3"/>
      <c r="X109" s="3"/>
    </row>
    <row r="110" spans="21:24" ht="13">
      <c r="U110" s="3"/>
      <c r="V110" s="3"/>
      <c r="W110" s="3"/>
      <c r="X110" s="3"/>
    </row>
    <row r="111" spans="21:24" ht="13">
      <c r="U111" s="3"/>
      <c r="V111" s="3"/>
      <c r="W111" s="3"/>
      <c r="X111" s="3"/>
    </row>
    <row r="112" spans="21:24" ht="13">
      <c r="U112" s="3"/>
      <c r="V112" s="3"/>
      <c r="W112" s="3"/>
      <c r="X112" s="3"/>
    </row>
    <row r="113" spans="21:24" ht="13">
      <c r="U113" s="3"/>
      <c r="V113" s="3"/>
      <c r="W113" s="3"/>
      <c r="X113" s="3"/>
    </row>
    <row r="114" spans="21:24" ht="13">
      <c r="U114" s="3"/>
      <c r="V114" s="3"/>
      <c r="W114" s="3"/>
      <c r="X114" s="3"/>
    </row>
    <row r="115" spans="21:24" ht="13">
      <c r="U115" s="3"/>
      <c r="V115" s="3"/>
      <c r="W115" s="3"/>
      <c r="X115" s="3"/>
    </row>
    <row r="116" spans="21:24" ht="13">
      <c r="U116" s="3"/>
      <c r="V116" s="3"/>
      <c r="W116" s="3"/>
      <c r="X116" s="3"/>
    </row>
    <row r="117" spans="21:24" ht="13">
      <c r="U117" s="3"/>
      <c r="V117" s="3"/>
      <c r="W117" s="3"/>
      <c r="X117" s="3"/>
    </row>
    <row r="118" spans="21:24" ht="13">
      <c r="U118" s="3"/>
      <c r="V118" s="3"/>
      <c r="W118" s="3"/>
      <c r="X118" s="3"/>
    </row>
    <row r="119" spans="21:24" ht="13">
      <c r="U119" s="3"/>
      <c r="V119" s="3"/>
      <c r="W119" s="3"/>
      <c r="X119" s="3"/>
    </row>
    <row r="120" spans="21:24" ht="13">
      <c r="U120" s="3"/>
      <c r="V120" s="3"/>
      <c r="W120" s="3"/>
      <c r="X120" s="3"/>
    </row>
    <row r="121" spans="21:24" ht="13">
      <c r="U121" s="3"/>
      <c r="V121" s="3"/>
      <c r="W121" s="3"/>
      <c r="X121" s="3"/>
    </row>
    <row r="122" spans="21:24" ht="13">
      <c r="U122" s="3"/>
      <c r="V122" s="3"/>
      <c r="W122" s="3"/>
      <c r="X122" s="3"/>
    </row>
    <row r="123" spans="21:24" ht="13">
      <c r="U123" s="3"/>
      <c r="V123" s="3"/>
      <c r="W123" s="3"/>
      <c r="X123" s="3"/>
    </row>
    <row r="124" spans="21:24" ht="13">
      <c r="U124" s="3"/>
      <c r="V124" s="3"/>
      <c r="W124" s="3"/>
      <c r="X124" s="3"/>
    </row>
    <row r="125" spans="21:24" ht="13">
      <c r="U125" s="3"/>
      <c r="V125" s="3"/>
      <c r="W125" s="3"/>
      <c r="X125" s="3"/>
    </row>
    <row r="126" spans="21:24" ht="13">
      <c r="U126" s="3"/>
      <c r="V126" s="3"/>
      <c r="W126" s="3"/>
      <c r="X126" s="3"/>
    </row>
    <row r="127" spans="21:24" ht="13">
      <c r="U127" s="3"/>
      <c r="V127" s="3"/>
      <c r="W127" s="3"/>
      <c r="X127" s="3"/>
    </row>
    <row r="128" spans="21:24" ht="13">
      <c r="U128" s="3"/>
      <c r="V128" s="3"/>
      <c r="W128" s="3"/>
      <c r="X128" s="3"/>
    </row>
    <row r="129" spans="21:24" ht="13">
      <c r="U129" s="3"/>
      <c r="V129" s="3"/>
      <c r="W129" s="3"/>
      <c r="X129" s="3"/>
    </row>
    <row r="130" spans="21:24" ht="13">
      <c r="U130" s="3"/>
      <c r="V130" s="3"/>
      <c r="W130" s="3"/>
      <c r="X130" s="3"/>
    </row>
    <row r="131" spans="21:24" ht="13">
      <c r="U131" s="3"/>
      <c r="V131" s="3"/>
      <c r="W131" s="3"/>
      <c r="X131" s="3"/>
    </row>
    <row r="132" spans="21:24" ht="13">
      <c r="U132" s="3"/>
      <c r="V132" s="3"/>
      <c r="W132" s="3"/>
      <c r="X132" s="3"/>
    </row>
    <row r="133" spans="21:24" ht="13">
      <c r="U133" s="3"/>
      <c r="V133" s="3"/>
      <c r="W133" s="3"/>
      <c r="X133" s="3"/>
    </row>
    <row r="134" spans="21:24" ht="13">
      <c r="U134" s="3"/>
      <c r="V134" s="3"/>
      <c r="W134" s="3"/>
      <c r="X134" s="3"/>
    </row>
    <row r="135" spans="21:24" ht="13">
      <c r="U135" s="3"/>
      <c r="V135" s="3"/>
      <c r="W135" s="3"/>
      <c r="X135" s="3"/>
    </row>
    <row r="136" spans="21:24" ht="13">
      <c r="U136" s="3"/>
      <c r="V136" s="3"/>
      <c r="W136" s="3"/>
      <c r="X136" s="3"/>
    </row>
    <row r="137" spans="21:24" ht="13">
      <c r="U137" s="3"/>
      <c r="V137" s="3"/>
      <c r="W137" s="3"/>
      <c r="X137" s="3"/>
    </row>
    <row r="138" spans="21:24" ht="13">
      <c r="U138" s="3"/>
      <c r="V138" s="3"/>
      <c r="W138" s="3"/>
      <c r="X138" s="3"/>
    </row>
    <row r="139" spans="21:24" ht="13">
      <c r="U139" s="3"/>
      <c r="V139" s="3"/>
      <c r="W139" s="3"/>
      <c r="X139" s="3"/>
    </row>
    <row r="140" spans="21:24" ht="13">
      <c r="U140" s="3"/>
      <c r="V140" s="3"/>
      <c r="W140" s="3"/>
      <c r="X140" s="3"/>
    </row>
    <row r="141" spans="21:24" ht="13">
      <c r="U141" s="3"/>
      <c r="V141" s="3"/>
      <c r="W141" s="3"/>
      <c r="X141" s="3"/>
    </row>
    <row r="142" spans="21:24" ht="13">
      <c r="U142" s="3"/>
      <c r="V142" s="3"/>
      <c r="W142" s="3"/>
      <c r="X142" s="3"/>
    </row>
    <row r="143" spans="21:24" ht="13">
      <c r="U143" s="3"/>
      <c r="V143" s="3"/>
      <c r="W143" s="3"/>
      <c r="X143" s="3"/>
    </row>
    <row r="144" spans="21:24" ht="13">
      <c r="U144" s="3"/>
      <c r="V144" s="3"/>
      <c r="W144" s="3"/>
      <c r="X144" s="3"/>
    </row>
    <row r="145" spans="21:24" ht="13">
      <c r="U145" s="3"/>
      <c r="V145" s="3"/>
      <c r="W145" s="3"/>
      <c r="X145" s="3"/>
    </row>
    <row r="146" spans="21:24" ht="13">
      <c r="U146" s="3"/>
      <c r="V146" s="3"/>
      <c r="W146" s="3"/>
      <c r="X146" s="3"/>
    </row>
    <row r="147" spans="21:24" ht="13">
      <c r="U147" s="3"/>
      <c r="V147" s="3"/>
      <c r="W147" s="3"/>
      <c r="X147" s="3"/>
    </row>
    <row r="148" spans="21:24" ht="13">
      <c r="U148" s="3"/>
      <c r="V148" s="3"/>
      <c r="W148" s="3"/>
      <c r="X148" s="3"/>
    </row>
    <row r="149" spans="21:24" ht="13">
      <c r="U149" s="3"/>
      <c r="V149" s="3"/>
      <c r="W149" s="3"/>
      <c r="X149" s="3"/>
    </row>
    <row r="150" spans="21:24" ht="13">
      <c r="U150" s="3"/>
      <c r="V150" s="3"/>
      <c r="W150" s="3"/>
      <c r="X150" s="3"/>
    </row>
    <row r="151" spans="21:24" ht="13">
      <c r="U151" s="3"/>
      <c r="V151" s="3"/>
      <c r="W151" s="3"/>
      <c r="X151" s="3"/>
    </row>
    <row r="152" spans="21:24" ht="13">
      <c r="U152" s="3"/>
      <c r="V152" s="3"/>
      <c r="W152" s="3"/>
      <c r="X152" s="3"/>
    </row>
    <row r="153" spans="21:24" ht="13">
      <c r="U153" s="3"/>
      <c r="V153" s="3"/>
      <c r="W153" s="3"/>
      <c r="X153" s="3"/>
    </row>
    <row r="154" spans="21:24" ht="13">
      <c r="U154" s="3"/>
      <c r="V154" s="3"/>
      <c r="W154" s="3"/>
      <c r="X154" s="3"/>
    </row>
    <row r="155" spans="21:24" ht="13">
      <c r="U155" s="3"/>
      <c r="V155" s="3"/>
      <c r="W155" s="3"/>
      <c r="X155" s="3"/>
    </row>
    <row r="156" spans="21:24" ht="13">
      <c r="U156" s="3"/>
      <c r="V156" s="3"/>
      <c r="W156" s="3"/>
      <c r="X156" s="3"/>
    </row>
    <row r="157" spans="21:24" ht="13">
      <c r="U157" s="3"/>
      <c r="V157" s="3"/>
      <c r="W157" s="3"/>
      <c r="X157" s="3"/>
    </row>
    <row r="158" spans="21:24" ht="13">
      <c r="U158" s="3"/>
      <c r="V158" s="3"/>
      <c r="W158" s="3"/>
      <c r="X158" s="3"/>
    </row>
    <row r="159" spans="21:24" ht="13">
      <c r="U159" s="3"/>
      <c r="V159" s="3"/>
      <c r="W159" s="3"/>
      <c r="X159" s="3"/>
    </row>
    <row r="160" spans="21:24" ht="13">
      <c r="U160" s="3"/>
      <c r="V160" s="3"/>
      <c r="W160" s="3"/>
      <c r="X160" s="3"/>
    </row>
    <row r="161" spans="21:24" ht="13">
      <c r="U161" s="3"/>
      <c r="V161" s="3"/>
      <c r="W161" s="3"/>
      <c r="X161" s="3"/>
    </row>
    <row r="162" spans="21:24" ht="13">
      <c r="U162" s="3"/>
      <c r="V162" s="3"/>
      <c r="W162" s="3"/>
      <c r="X162" s="3"/>
    </row>
    <row r="163" spans="21:24" ht="13">
      <c r="U163" s="3"/>
      <c r="V163" s="3"/>
      <c r="W163" s="3"/>
      <c r="X163" s="3"/>
    </row>
    <row r="164" spans="21:24" ht="13">
      <c r="U164" s="3"/>
      <c r="V164" s="3"/>
      <c r="W164" s="3"/>
      <c r="X164" s="3"/>
    </row>
    <row r="165" spans="21:24" ht="13">
      <c r="U165" s="3"/>
      <c r="V165" s="3"/>
      <c r="W165" s="3"/>
      <c r="X165" s="3"/>
    </row>
    <row r="166" spans="21:24" ht="13">
      <c r="U166" s="3"/>
      <c r="V166" s="3"/>
      <c r="W166" s="3"/>
      <c r="X166" s="3"/>
    </row>
    <row r="167" spans="21:24" ht="13">
      <c r="U167" s="3"/>
      <c r="V167" s="3"/>
      <c r="W167" s="3"/>
      <c r="X167" s="3"/>
    </row>
    <row r="168" spans="21:24" ht="13">
      <c r="U168" s="3"/>
      <c r="V168" s="3"/>
      <c r="W168" s="3"/>
      <c r="X168" s="3"/>
    </row>
    <row r="169" spans="21:24" ht="13">
      <c r="U169" s="3"/>
      <c r="V169" s="3"/>
      <c r="W169" s="3"/>
      <c r="X169" s="3"/>
    </row>
    <row r="170" spans="21:24" ht="13">
      <c r="U170" s="3"/>
      <c r="V170" s="3"/>
      <c r="W170" s="3"/>
      <c r="X170" s="3"/>
    </row>
    <row r="171" spans="21:24" ht="13">
      <c r="U171" s="3"/>
      <c r="V171" s="3"/>
      <c r="W171" s="3"/>
      <c r="X171" s="3"/>
    </row>
    <row r="172" spans="21:24" ht="13">
      <c r="U172" s="3"/>
      <c r="V172" s="3"/>
      <c r="W172" s="3"/>
      <c r="X172" s="3"/>
    </row>
    <row r="173" spans="21:24" ht="13">
      <c r="U173" s="3"/>
      <c r="V173" s="3"/>
      <c r="W173" s="3"/>
      <c r="X173" s="3"/>
    </row>
    <row r="174" spans="21:24" ht="13">
      <c r="U174" s="3"/>
      <c r="V174" s="3"/>
      <c r="W174" s="3"/>
      <c r="X174" s="3"/>
    </row>
    <row r="175" spans="21:24" ht="13">
      <c r="U175" s="3"/>
      <c r="V175" s="3"/>
      <c r="W175" s="3"/>
      <c r="X175" s="3"/>
    </row>
    <row r="176" spans="21:24" ht="13">
      <c r="U176" s="3"/>
      <c r="V176" s="3"/>
      <c r="W176" s="3"/>
      <c r="X176" s="3"/>
    </row>
    <row r="177" spans="21:24" ht="13">
      <c r="U177" s="3"/>
      <c r="V177" s="3"/>
      <c r="W177" s="3"/>
      <c r="X177" s="3"/>
    </row>
    <row r="178" spans="21:24" ht="13">
      <c r="U178" s="3"/>
      <c r="V178" s="3"/>
      <c r="W178" s="3"/>
      <c r="X178" s="3"/>
    </row>
    <row r="179" spans="21:24" ht="13">
      <c r="U179" s="3"/>
      <c r="V179" s="3"/>
      <c r="W179" s="3"/>
      <c r="X179" s="3"/>
    </row>
    <row r="180" spans="21:24" ht="13">
      <c r="U180" s="3"/>
      <c r="V180" s="3"/>
      <c r="W180" s="3"/>
      <c r="X180" s="3"/>
    </row>
    <row r="181" spans="21:24" ht="13">
      <c r="U181" s="3"/>
      <c r="V181" s="3"/>
      <c r="W181" s="3"/>
      <c r="X181" s="3"/>
    </row>
    <row r="182" spans="21:24" ht="13">
      <c r="U182" s="3"/>
      <c r="V182" s="3"/>
      <c r="W182" s="3"/>
      <c r="X182" s="3"/>
    </row>
    <row r="183" spans="21:24" ht="13">
      <c r="U183" s="3"/>
      <c r="V183" s="3"/>
      <c r="W183" s="3"/>
      <c r="X183" s="3"/>
    </row>
    <row r="184" spans="21:24" ht="13">
      <c r="U184" s="3"/>
      <c r="V184" s="3"/>
      <c r="W184" s="3"/>
      <c r="X184" s="3"/>
    </row>
    <row r="185" spans="21:24" ht="13">
      <c r="U185" s="3"/>
      <c r="V185" s="3"/>
      <c r="W185" s="3"/>
      <c r="X185" s="3"/>
    </row>
    <row r="186" spans="21:24" ht="13">
      <c r="U186" s="3"/>
      <c r="V186" s="3"/>
      <c r="W186" s="3"/>
      <c r="X186" s="3"/>
    </row>
    <row r="187" spans="21:24" ht="13">
      <c r="U187" s="3"/>
      <c r="V187" s="3"/>
      <c r="W187" s="3"/>
      <c r="X187" s="3"/>
    </row>
    <row r="188" spans="21:24" ht="13">
      <c r="U188" s="3"/>
      <c r="V188" s="3"/>
      <c r="W188" s="3"/>
      <c r="X188" s="3"/>
    </row>
    <row r="189" spans="21:24" ht="13">
      <c r="U189" s="3"/>
      <c r="V189" s="3"/>
      <c r="W189" s="3"/>
      <c r="X189" s="3"/>
    </row>
    <row r="190" spans="21:24" ht="13">
      <c r="U190" s="3"/>
      <c r="V190" s="3"/>
      <c r="W190" s="3"/>
      <c r="X190" s="3"/>
    </row>
    <row r="191" spans="21:24" ht="13">
      <c r="U191" s="3"/>
      <c r="V191" s="3"/>
      <c r="W191" s="3"/>
      <c r="X191" s="3"/>
    </row>
    <row r="192" spans="21:24" ht="13">
      <c r="U192" s="3"/>
      <c r="V192" s="3"/>
      <c r="W192" s="3"/>
      <c r="X192" s="3"/>
    </row>
    <row r="193" spans="21:24" ht="13">
      <c r="U193" s="3"/>
      <c r="V193" s="3"/>
      <c r="W193" s="3"/>
      <c r="X193" s="3"/>
    </row>
    <row r="194" spans="21:24" ht="13">
      <c r="U194" s="3"/>
      <c r="V194" s="3"/>
      <c r="W194" s="3"/>
      <c r="X194" s="3"/>
    </row>
    <row r="195" spans="21:24" ht="13">
      <c r="U195" s="3"/>
      <c r="V195" s="3"/>
      <c r="W195" s="3"/>
      <c r="X195" s="3"/>
    </row>
    <row r="196" spans="21:24" ht="13">
      <c r="U196" s="3"/>
      <c r="V196" s="3"/>
      <c r="W196" s="3"/>
      <c r="X196" s="3"/>
    </row>
    <row r="197" spans="21:24" ht="13">
      <c r="U197" s="3"/>
      <c r="V197" s="3"/>
      <c r="W197" s="3"/>
      <c r="X197" s="3"/>
    </row>
    <row r="198" spans="21:24" ht="13">
      <c r="U198" s="3"/>
      <c r="V198" s="3"/>
      <c r="W198" s="3"/>
      <c r="X198" s="3"/>
    </row>
    <row r="199" spans="21:24" ht="13">
      <c r="U199" s="3"/>
      <c r="V199" s="3"/>
      <c r="W199" s="3"/>
      <c r="X199" s="3"/>
    </row>
    <row r="200" spans="21:24" ht="13">
      <c r="U200" s="3"/>
      <c r="V200" s="3"/>
      <c r="W200" s="3"/>
      <c r="X200" s="3"/>
    </row>
    <row r="201" spans="21:24" ht="13">
      <c r="U201" s="3"/>
      <c r="V201" s="3"/>
      <c r="W201" s="3"/>
      <c r="X201" s="3"/>
    </row>
    <row r="202" spans="21:24" ht="13">
      <c r="U202" s="3"/>
      <c r="V202" s="3"/>
      <c r="W202" s="3"/>
      <c r="X202" s="3"/>
    </row>
    <row r="203" spans="21:24" ht="13">
      <c r="U203" s="3"/>
      <c r="V203" s="3"/>
      <c r="W203" s="3"/>
      <c r="X203" s="3"/>
    </row>
    <row r="204" spans="21:24" ht="13">
      <c r="U204" s="3"/>
      <c r="V204" s="3"/>
      <c r="W204" s="3"/>
      <c r="X204" s="3"/>
    </row>
    <row r="205" spans="21:24" ht="13">
      <c r="U205" s="3"/>
      <c r="V205" s="3"/>
      <c r="W205" s="3"/>
      <c r="X205" s="3"/>
    </row>
    <row r="206" spans="21:24" ht="13">
      <c r="U206" s="3"/>
      <c r="V206" s="3"/>
      <c r="W206" s="3"/>
      <c r="X206" s="3"/>
    </row>
    <row r="207" spans="21:24" ht="13">
      <c r="U207" s="3"/>
      <c r="V207" s="3"/>
      <c r="W207" s="3"/>
      <c r="X207" s="3"/>
    </row>
    <row r="208" spans="21:24" ht="13">
      <c r="U208" s="3"/>
      <c r="V208" s="3"/>
      <c r="W208" s="3"/>
      <c r="X208" s="3"/>
    </row>
    <row r="209" spans="21:24" ht="13">
      <c r="U209" s="3"/>
      <c r="V209" s="3"/>
      <c r="W209" s="3"/>
      <c r="X209" s="3"/>
    </row>
    <row r="210" spans="21:24" ht="13">
      <c r="U210" s="3"/>
      <c r="V210" s="3"/>
      <c r="W210" s="3"/>
      <c r="X210" s="3"/>
    </row>
    <row r="211" spans="21:24" ht="13">
      <c r="U211" s="3"/>
      <c r="V211" s="3"/>
      <c r="W211" s="3"/>
      <c r="X211" s="3"/>
    </row>
    <row r="212" spans="21:24" ht="13">
      <c r="U212" s="3"/>
      <c r="V212" s="3"/>
      <c r="W212" s="3"/>
      <c r="X212" s="3"/>
    </row>
    <row r="213" spans="21:24" ht="13">
      <c r="U213" s="3"/>
      <c r="V213" s="3"/>
      <c r="W213" s="3"/>
      <c r="X213" s="3"/>
    </row>
    <row r="214" spans="21:24" ht="13">
      <c r="U214" s="3"/>
      <c r="V214" s="3"/>
      <c r="W214" s="3"/>
      <c r="X214" s="3"/>
    </row>
    <row r="215" spans="21:24" ht="13">
      <c r="U215" s="3"/>
      <c r="V215" s="3"/>
      <c r="W215" s="3"/>
      <c r="X215" s="3"/>
    </row>
    <row r="216" spans="21:24" ht="13">
      <c r="U216" s="3"/>
      <c r="V216" s="3"/>
      <c r="W216" s="3"/>
      <c r="X216" s="3"/>
    </row>
    <row r="217" spans="21:24" ht="13">
      <c r="U217" s="3"/>
      <c r="V217" s="3"/>
      <c r="W217" s="3"/>
      <c r="X217" s="3"/>
    </row>
    <row r="218" spans="21:24" ht="13">
      <c r="U218" s="3"/>
      <c r="V218" s="3"/>
      <c r="W218" s="3"/>
      <c r="X218" s="3"/>
    </row>
    <row r="219" spans="21:24" ht="13">
      <c r="U219" s="3"/>
      <c r="V219" s="3"/>
      <c r="W219" s="3"/>
      <c r="X219" s="3"/>
    </row>
    <row r="220" spans="21:24" ht="13">
      <c r="U220" s="3"/>
      <c r="V220" s="3"/>
      <c r="W220" s="3"/>
      <c r="X220" s="3"/>
    </row>
    <row r="221" spans="21:24" ht="13">
      <c r="U221" s="3"/>
      <c r="V221" s="3"/>
      <c r="W221" s="3"/>
      <c r="X221" s="3"/>
    </row>
    <row r="222" spans="21:24" ht="13">
      <c r="U222" s="3"/>
      <c r="V222" s="3"/>
      <c r="W222" s="3"/>
      <c r="X222" s="3"/>
    </row>
    <row r="223" spans="21:24" ht="13">
      <c r="U223" s="3"/>
      <c r="V223" s="3"/>
      <c r="W223" s="3"/>
      <c r="X223" s="3"/>
    </row>
    <row r="224" spans="21:24" ht="13">
      <c r="U224" s="3"/>
      <c r="V224" s="3"/>
      <c r="W224" s="3"/>
      <c r="X224" s="3"/>
    </row>
    <row r="225" spans="21:24" ht="13">
      <c r="U225" s="3"/>
      <c r="V225" s="3"/>
      <c r="W225" s="3"/>
      <c r="X225" s="3"/>
    </row>
    <row r="226" spans="21:24" ht="13">
      <c r="U226" s="3"/>
      <c r="V226" s="3"/>
      <c r="W226" s="3"/>
      <c r="X226" s="3"/>
    </row>
    <row r="227" spans="21:24" ht="13">
      <c r="U227" s="3"/>
      <c r="V227" s="3"/>
      <c r="W227" s="3"/>
      <c r="X227" s="3"/>
    </row>
    <row r="228" spans="21:24" ht="13">
      <c r="U228" s="3"/>
      <c r="V228" s="3"/>
      <c r="W228" s="3"/>
      <c r="X228" s="3"/>
    </row>
    <row r="229" spans="21:24" ht="13">
      <c r="U229" s="3"/>
      <c r="V229" s="3"/>
      <c r="W229" s="3"/>
      <c r="X229" s="3"/>
    </row>
    <row r="230" spans="21:24" ht="13">
      <c r="U230" s="3"/>
      <c r="V230" s="3"/>
      <c r="W230" s="3"/>
      <c r="X230" s="3"/>
    </row>
    <row r="231" spans="21:24" ht="13">
      <c r="U231" s="3"/>
      <c r="V231" s="3"/>
      <c r="W231" s="3"/>
      <c r="X231" s="3"/>
    </row>
    <row r="232" spans="21:24" ht="13">
      <c r="U232" s="3"/>
      <c r="V232" s="3"/>
      <c r="W232" s="3"/>
      <c r="X232" s="3"/>
    </row>
    <row r="233" spans="21:24" ht="13">
      <c r="U233" s="3"/>
      <c r="V233" s="3"/>
      <c r="W233" s="3"/>
      <c r="X233" s="3"/>
    </row>
    <row r="234" spans="21:24" ht="13">
      <c r="U234" s="3"/>
      <c r="V234" s="3"/>
      <c r="W234" s="3"/>
      <c r="X234" s="3"/>
    </row>
    <row r="235" spans="21:24" ht="13">
      <c r="U235" s="3"/>
      <c r="V235" s="3"/>
      <c r="W235" s="3"/>
      <c r="X235" s="3"/>
    </row>
    <row r="236" spans="21:24" ht="13">
      <c r="U236" s="3"/>
      <c r="V236" s="3"/>
      <c r="W236" s="3"/>
      <c r="X236" s="3"/>
    </row>
    <row r="237" spans="21:24" ht="13">
      <c r="U237" s="3"/>
      <c r="V237" s="3"/>
      <c r="W237" s="3"/>
      <c r="X237" s="3"/>
    </row>
    <row r="238" spans="21:24" ht="13">
      <c r="U238" s="3"/>
      <c r="V238" s="3"/>
      <c r="W238" s="3"/>
      <c r="X238" s="3"/>
    </row>
    <row r="239" spans="21:24" ht="13">
      <c r="U239" s="3"/>
      <c r="V239" s="3"/>
      <c r="W239" s="3"/>
      <c r="X239" s="3"/>
    </row>
    <row r="240" spans="21:24" ht="13">
      <c r="U240" s="3"/>
      <c r="V240" s="3"/>
      <c r="W240" s="3"/>
      <c r="X240" s="3"/>
    </row>
    <row r="241" spans="21:24" ht="13">
      <c r="U241" s="3"/>
      <c r="V241" s="3"/>
      <c r="W241" s="3"/>
      <c r="X241" s="3"/>
    </row>
    <row r="242" spans="21:24" ht="13">
      <c r="U242" s="3"/>
      <c r="V242" s="3"/>
      <c r="W242" s="3"/>
      <c r="X242" s="3"/>
    </row>
    <row r="243" spans="21:24" ht="13">
      <c r="U243" s="3"/>
      <c r="V243" s="3"/>
      <c r="W243" s="3"/>
      <c r="X243" s="3"/>
    </row>
    <row r="244" spans="21:24" ht="13">
      <c r="U244" s="3"/>
      <c r="V244" s="3"/>
      <c r="W244" s="3"/>
      <c r="X244" s="3"/>
    </row>
    <row r="245" spans="21:24" ht="13">
      <c r="U245" s="3"/>
      <c r="V245" s="3"/>
      <c r="W245" s="3"/>
      <c r="X245" s="3"/>
    </row>
    <row r="246" spans="21:24" ht="13">
      <c r="U246" s="3"/>
      <c r="V246" s="3"/>
      <c r="W246" s="3"/>
      <c r="X246" s="3"/>
    </row>
    <row r="247" spans="21:24" ht="13">
      <c r="U247" s="3"/>
      <c r="V247" s="3"/>
      <c r="W247" s="3"/>
      <c r="X247" s="3"/>
    </row>
    <row r="248" spans="21:24" ht="13">
      <c r="U248" s="3"/>
      <c r="V248" s="3"/>
      <c r="W248" s="3"/>
      <c r="X248" s="3"/>
    </row>
    <row r="249" spans="21:24" ht="13">
      <c r="U249" s="3"/>
      <c r="V249" s="3"/>
      <c r="W249" s="3"/>
      <c r="X249" s="3"/>
    </row>
    <row r="250" spans="21:24" ht="13">
      <c r="U250" s="3"/>
      <c r="V250" s="3"/>
      <c r="W250" s="3"/>
      <c r="X250" s="3"/>
    </row>
    <row r="251" spans="21:24" ht="13">
      <c r="U251" s="3"/>
      <c r="V251" s="3"/>
      <c r="W251" s="3"/>
      <c r="X251" s="3"/>
    </row>
    <row r="252" spans="21:24" ht="13">
      <c r="U252" s="3"/>
      <c r="V252" s="3"/>
      <c r="W252" s="3"/>
      <c r="X252" s="3"/>
    </row>
    <row r="253" spans="21:24" ht="13">
      <c r="U253" s="3"/>
      <c r="V253" s="3"/>
      <c r="W253" s="3"/>
      <c r="X253" s="3"/>
    </row>
    <row r="254" spans="21:24" ht="13">
      <c r="U254" s="3"/>
      <c r="V254" s="3"/>
      <c r="W254" s="3"/>
      <c r="X254" s="3"/>
    </row>
    <row r="255" spans="21:24" ht="13">
      <c r="U255" s="3"/>
      <c r="V255" s="3"/>
      <c r="W255" s="3"/>
      <c r="X255" s="3"/>
    </row>
    <row r="256" spans="21:24" ht="13">
      <c r="U256" s="3"/>
      <c r="V256" s="3"/>
      <c r="W256" s="3"/>
      <c r="X256" s="3"/>
    </row>
    <row r="257" spans="21:24" ht="13">
      <c r="U257" s="3"/>
      <c r="V257" s="3"/>
      <c r="W257" s="3"/>
      <c r="X257" s="3"/>
    </row>
    <row r="258" spans="21:24" ht="13">
      <c r="U258" s="3"/>
      <c r="V258" s="3"/>
      <c r="W258" s="3"/>
      <c r="X258" s="3"/>
    </row>
    <row r="259" spans="21:24" ht="13">
      <c r="U259" s="3"/>
      <c r="V259" s="3"/>
      <c r="W259" s="3"/>
      <c r="X259" s="3"/>
    </row>
    <row r="260" spans="21:24" ht="13">
      <c r="U260" s="3"/>
      <c r="V260" s="3"/>
      <c r="W260" s="3"/>
      <c r="X260" s="3"/>
    </row>
    <row r="261" spans="21:24" ht="13">
      <c r="U261" s="3"/>
      <c r="V261" s="3"/>
      <c r="W261" s="3"/>
      <c r="X261" s="3"/>
    </row>
    <row r="262" spans="21:24" ht="13">
      <c r="U262" s="3"/>
      <c r="V262" s="3"/>
      <c r="W262" s="3"/>
      <c r="X262" s="3"/>
    </row>
    <row r="263" spans="21:24" ht="13">
      <c r="U263" s="3"/>
      <c r="V263" s="3"/>
      <c r="W263" s="3"/>
      <c r="X263" s="3"/>
    </row>
    <row r="264" spans="21:24" ht="13">
      <c r="U264" s="3"/>
      <c r="V264" s="3"/>
      <c r="W264" s="3"/>
      <c r="X264" s="3"/>
    </row>
    <row r="265" spans="21:24" ht="13">
      <c r="U265" s="3"/>
      <c r="V265" s="3"/>
      <c r="W265" s="3"/>
      <c r="X265" s="3"/>
    </row>
    <row r="266" spans="21:24" ht="13">
      <c r="U266" s="3"/>
      <c r="V266" s="3"/>
      <c r="W266" s="3"/>
      <c r="X266" s="3"/>
    </row>
    <row r="267" spans="21:24" ht="13">
      <c r="U267" s="3"/>
      <c r="V267" s="3"/>
      <c r="W267" s="3"/>
      <c r="X267" s="3"/>
    </row>
    <row r="268" spans="21:24" ht="13">
      <c r="U268" s="3"/>
      <c r="V268" s="3"/>
      <c r="W268" s="3"/>
      <c r="X268" s="3"/>
    </row>
    <row r="269" spans="21:24" ht="13">
      <c r="U269" s="3"/>
      <c r="V269" s="3"/>
      <c r="W269" s="3"/>
      <c r="X269" s="3"/>
    </row>
    <row r="270" spans="21:24" ht="13">
      <c r="U270" s="3"/>
      <c r="V270" s="3"/>
      <c r="W270" s="3"/>
      <c r="X270" s="3"/>
    </row>
    <row r="271" spans="21:24" ht="13">
      <c r="U271" s="3"/>
      <c r="V271" s="3"/>
      <c r="W271" s="3"/>
      <c r="X271" s="3"/>
    </row>
    <row r="272" spans="21:24" ht="13">
      <c r="U272" s="3"/>
      <c r="V272" s="3"/>
      <c r="W272" s="3"/>
      <c r="X272" s="3"/>
    </row>
    <row r="273" spans="21:24" ht="13">
      <c r="U273" s="3"/>
      <c r="V273" s="3"/>
      <c r="W273" s="3"/>
      <c r="X273" s="3"/>
    </row>
    <row r="274" spans="21:24" ht="13">
      <c r="U274" s="3"/>
      <c r="V274" s="3"/>
      <c r="W274" s="3"/>
      <c r="X274" s="3"/>
    </row>
    <row r="275" spans="21:24" ht="13">
      <c r="U275" s="3"/>
      <c r="V275" s="3"/>
      <c r="W275" s="3"/>
      <c r="X275" s="3"/>
    </row>
    <row r="276" spans="21:24" ht="13">
      <c r="U276" s="3"/>
      <c r="V276" s="3"/>
      <c r="W276" s="3"/>
      <c r="X276" s="3"/>
    </row>
    <row r="277" spans="21:24" ht="13">
      <c r="U277" s="3"/>
      <c r="V277" s="3"/>
      <c r="W277" s="3"/>
      <c r="X277" s="3"/>
    </row>
    <row r="278" spans="21:24" ht="13">
      <c r="U278" s="3"/>
      <c r="V278" s="3"/>
      <c r="W278" s="3"/>
      <c r="X278" s="3"/>
    </row>
    <row r="279" spans="21:24" ht="13">
      <c r="U279" s="3"/>
      <c r="V279" s="3"/>
      <c r="W279" s="3"/>
      <c r="X279" s="3"/>
    </row>
    <row r="280" spans="21:24" ht="13">
      <c r="U280" s="3"/>
      <c r="V280" s="3"/>
      <c r="W280" s="3"/>
      <c r="X280" s="3"/>
    </row>
    <row r="281" spans="21:24" ht="13">
      <c r="U281" s="3"/>
      <c r="V281" s="3"/>
      <c r="W281" s="3"/>
      <c r="X281" s="3"/>
    </row>
    <row r="282" spans="21:24" ht="13">
      <c r="U282" s="3"/>
      <c r="V282" s="3"/>
      <c r="W282" s="3"/>
      <c r="X282" s="3"/>
    </row>
    <row r="283" spans="21:24" ht="13">
      <c r="U283" s="3"/>
      <c r="V283" s="3"/>
      <c r="W283" s="3"/>
      <c r="X283" s="3"/>
    </row>
    <row r="284" spans="21:24" ht="13">
      <c r="U284" s="3"/>
      <c r="V284" s="3"/>
      <c r="W284" s="3"/>
      <c r="X284" s="3"/>
    </row>
    <row r="285" spans="21:24" ht="13">
      <c r="U285" s="3"/>
      <c r="V285" s="3"/>
      <c r="W285" s="3"/>
      <c r="X285" s="3"/>
    </row>
    <row r="286" spans="21:24" ht="13">
      <c r="U286" s="3"/>
      <c r="V286" s="3"/>
      <c r="W286" s="3"/>
      <c r="X286" s="3"/>
    </row>
    <row r="287" spans="21:24" ht="13">
      <c r="U287" s="3"/>
      <c r="V287" s="3"/>
      <c r="W287" s="3"/>
      <c r="X287" s="3"/>
    </row>
    <row r="288" spans="21:24" ht="13">
      <c r="U288" s="3"/>
      <c r="V288" s="3"/>
      <c r="W288" s="3"/>
      <c r="X288" s="3"/>
    </row>
    <row r="289" spans="21:24" ht="13">
      <c r="U289" s="3"/>
      <c r="V289" s="3"/>
      <c r="W289" s="3"/>
      <c r="X289" s="3"/>
    </row>
    <row r="290" spans="21:24" ht="13">
      <c r="U290" s="3"/>
      <c r="V290" s="3"/>
      <c r="W290" s="3"/>
      <c r="X290" s="3"/>
    </row>
    <row r="291" spans="21:24" ht="13">
      <c r="U291" s="3"/>
      <c r="V291" s="3"/>
      <c r="W291" s="3"/>
      <c r="X291" s="3"/>
    </row>
    <row r="292" spans="21:24" ht="13">
      <c r="U292" s="3"/>
      <c r="V292" s="3"/>
      <c r="W292" s="3"/>
      <c r="X292" s="3"/>
    </row>
    <row r="293" spans="21:24" ht="13">
      <c r="U293" s="3"/>
      <c r="V293" s="3"/>
      <c r="W293" s="3"/>
      <c r="X293" s="3"/>
    </row>
    <row r="294" spans="21:24" ht="13">
      <c r="U294" s="3"/>
      <c r="V294" s="3"/>
      <c r="W294" s="3"/>
      <c r="X294" s="3"/>
    </row>
    <row r="295" spans="21:24" ht="13">
      <c r="U295" s="3"/>
      <c r="V295" s="3"/>
      <c r="W295" s="3"/>
      <c r="X295" s="3"/>
    </row>
    <row r="296" spans="21:24" ht="13">
      <c r="U296" s="3"/>
      <c r="V296" s="3"/>
      <c r="W296" s="3"/>
      <c r="X296" s="3"/>
    </row>
    <row r="297" spans="21:24" ht="13">
      <c r="U297" s="3"/>
      <c r="V297" s="3"/>
      <c r="W297" s="3"/>
      <c r="X297" s="3"/>
    </row>
    <row r="298" spans="21:24" ht="13">
      <c r="U298" s="3"/>
      <c r="V298" s="3"/>
      <c r="W298" s="3"/>
      <c r="X298" s="3"/>
    </row>
    <row r="299" spans="21:24" ht="13">
      <c r="U299" s="3"/>
      <c r="V299" s="3"/>
      <c r="W299" s="3"/>
      <c r="X299" s="3"/>
    </row>
    <row r="300" spans="21:24" ht="13">
      <c r="U300" s="3"/>
      <c r="V300" s="3"/>
      <c r="W300" s="3"/>
      <c r="X300" s="3"/>
    </row>
    <row r="301" spans="21:24" ht="13">
      <c r="U301" s="3"/>
      <c r="V301" s="3"/>
      <c r="W301" s="3"/>
      <c r="X301" s="3"/>
    </row>
    <row r="302" spans="21:24" ht="13">
      <c r="U302" s="3"/>
      <c r="V302" s="3"/>
      <c r="W302" s="3"/>
      <c r="X302" s="3"/>
    </row>
    <row r="303" spans="21:24" ht="13">
      <c r="U303" s="3"/>
      <c r="V303" s="3"/>
      <c r="W303" s="3"/>
      <c r="X303" s="3"/>
    </row>
    <row r="304" spans="21:24" ht="13">
      <c r="U304" s="3"/>
      <c r="V304" s="3"/>
      <c r="W304" s="3"/>
      <c r="X304" s="3"/>
    </row>
    <row r="305" spans="21:24" ht="13">
      <c r="U305" s="3"/>
      <c r="V305" s="3"/>
      <c r="W305" s="3"/>
      <c r="X305" s="3"/>
    </row>
    <row r="306" spans="21:24" ht="13">
      <c r="U306" s="3"/>
      <c r="V306" s="3"/>
      <c r="W306" s="3"/>
      <c r="X306" s="3"/>
    </row>
    <row r="307" spans="21:24" ht="13">
      <c r="U307" s="3"/>
      <c r="V307" s="3"/>
      <c r="W307" s="3"/>
      <c r="X307" s="3"/>
    </row>
    <row r="308" spans="21:24" ht="13">
      <c r="U308" s="3"/>
      <c r="V308" s="3"/>
      <c r="W308" s="3"/>
      <c r="X308" s="3"/>
    </row>
    <row r="309" spans="21:24" ht="13">
      <c r="U309" s="3"/>
      <c r="V309" s="3"/>
      <c r="W309" s="3"/>
      <c r="X309" s="3"/>
    </row>
    <row r="310" spans="21:24" ht="13">
      <c r="U310" s="3"/>
      <c r="V310" s="3"/>
      <c r="W310" s="3"/>
      <c r="X310" s="3"/>
    </row>
    <row r="311" spans="21:24" ht="13">
      <c r="U311" s="3"/>
      <c r="V311" s="3"/>
      <c r="W311" s="3"/>
      <c r="X311" s="3"/>
    </row>
    <row r="312" spans="21:24" ht="13">
      <c r="U312" s="3"/>
      <c r="V312" s="3"/>
      <c r="W312" s="3"/>
      <c r="X312" s="3"/>
    </row>
    <row r="313" spans="21:24" ht="13">
      <c r="U313" s="3"/>
      <c r="V313" s="3"/>
      <c r="W313" s="3"/>
      <c r="X313" s="3"/>
    </row>
    <row r="314" spans="21:24" ht="13">
      <c r="U314" s="3"/>
      <c r="V314" s="3"/>
      <c r="W314" s="3"/>
      <c r="X314" s="3"/>
    </row>
    <row r="315" spans="21:24" ht="13">
      <c r="U315" s="3"/>
      <c r="V315" s="3"/>
      <c r="W315" s="3"/>
      <c r="X315" s="3"/>
    </row>
    <row r="316" spans="21:24" ht="13">
      <c r="U316" s="3"/>
      <c r="V316" s="3"/>
      <c r="W316" s="3"/>
      <c r="X316" s="3"/>
    </row>
    <row r="317" spans="21:24" ht="13">
      <c r="U317" s="3"/>
      <c r="V317" s="3"/>
      <c r="W317" s="3"/>
      <c r="X317" s="3"/>
    </row>
    <row r="318" spans="21:24" ht="13">
      <c r="U318" s="3"/>
      <c r="V318" s="3"/>
      <c r="W318" s="3"/>
      <c r="X318" s="3"/>
    </row>
    <row r="319" spans="21:24" ht="13">
      <c r="U319" s="3"/>
      <c r="V319" s="3"/>
      <c r="W319" s="3"/>
      <c r="X319" s="3"/>
    </row>
    <row r="320" spans="21:24" ht="13">
      <c r="U320" s="3"/>
      <c r="V320" s="3"/>
      <c r="W320" s="3"/>
      <c r="X320" s="3"/>
    </row>
    <row r="321" spans="21:24" ht="13">
      <c r="U321" s="3"/>
      <c r="V321" s="3"/>
      <c r="W321" s="3"/>
      <c r="X321" s="3"/>
    </row>
    <row r="322" spans="21:24" ht="13">
      <c r="U322" s="3"/>
      <c r="V322" s="3"/>
      <c r="W322" s="3"/>
      <c r="X322" s="3"/>
    </row>
    <row r="323" spans="21:24" ht="13">
      <c r="U323" s="3"/>
      <c r="V323" s="3"/>
      <c r="W323" s="3"/>
      <c r="X323" s="3"/>
    </row>
    <row r="324" spans="21:24" ht="13">
      <c r="U324" s="3"/>
      <c r="V324" s="3"/>
      <c r="W324" s="3"/>
      <c r="X324" s="3"/>
    </row>
    <row r="325" spans="21:24" ht="13">
      <c r="U325" s="3"/>
      <c r="V325" s="3"/>
      <c r="W325" s="3"/>
      <c r="X325" s="3"/>
    </row>
    <row r="326" spans="21:24" ht="13">
      <c r="U326" s="3"/>
      <c r="V326" s="3"/>
      <c r="W326" s="3"/>
      <c r="X326" s="3"/>
    </row>
    <row r="327" spans="21:24" ht="13">
      <c r="U327" s="3"/>
      <c r="V327" s="3"/>
      <c r="W327" s="3"/>
      <c r="X327" s="3"/>
    </row>
    <row r="328" spans="21:24" ht="13">
      <c r="U328" s="3"/>
      <c r="V328" s="3"/>
      <c r="W328" s="3"/>
      <c r="X328" s="3"/>
    </row>
    <row r="329" spans="21:24" ht="13">
      <c r="U329" s="3"/>
      <c r="V329" s="3"/>
      <c r="W329" s="3"/>
      <c r="X329" s="3"/>
    </row>
    <row r="330" spans="21:24" ht="13">
      <c r="U330" s="3"/>
      <c r="V330" s="3"/>
      <c r="W330" s="3"/>
      <c r="X330" s="3"/>
    </row>
    <row r="331" spans="21:24" ht="13">
      <c r="U331" s="3"/>
      <c r="V331" s="3"/>
      <c r="W331" s="3"/>
      <c r="X331" s="3"/>
    </row>
    <row r="332" spans="21:24" ht="13">
      <c r="U332" s="3"/>
      <c r="V332" s="3"/>
      <c r="W332" s="3"/>
      <c r="X332" s="3"/>
    </row>
    <row r="333" spans="21:24" ht="13">
      <c r="U333" s="3"/>
      <c r="V333" s="3"/>
      <c r="W333" s="3"/>
      <c r="X333" s="3"/>
    </row>
    <row r="334" spans="21:24" ht="13">
      <c r="U334" s="3"/>
      <c r="V334" s="3"/>
      <c r="W334" s="3"/>
      <c r="X334" s="3"/>
    </row>
    <row r="335" spans="21:24" ht="13">
      <c r="U335" s="3"/>
      <c r="V335" s="3"/>
      <c r="W335" s="3"/>
      <c r="X335" s="3"/>
    </row>
    <row r="336" spans="21:24" ht="13">
      <c r="U336" s="3"/>
      <c r="V336" s="3"/>
      <c r="W336" s="3"/>
      <c r="X336" s="3"/>
    </row>
    <row r="337" spans="21:24" ht="13">
      <c r="U337" s="3"/>
      <c r="V337" s="3"/>
      <c r="W337" s="3"/>
      <c r="X337" s="3"/>
    </row>
    <row r="338" spans="21:24" ht="13">
      <c r="U338" s="3"/>
      <c r="V338" s="3"/>
      <c r="W338" s="3"/>
      <c r="X338" s="3"/>
    </row>
    <row r="339" spans="21:24" ht="13">
      <c r="U339" s="3"/>
      <c r="V339" s="3"/>
      <c r="W339" s="3"/>
      <c r="X339" s="3"/>
    </row>
    <row r="340" spans="21:24" ht="13">
      <c r="U340" s="3"/>
      <c r="V340" s="3"/>
      <c r="W340" s="3"/>
      <c r="X340" s="3"/>
    </row>
    <row r="341" spans="21:24" ht="13">
      <c r="U341" s="3"/>
      <c r="V341" s="3"/>
      <c r="W341" s="3"/>
      <c r="X341" s="3"/>
    </row>
    <row r="342" spans="21:24" ht="13">
      <c r="U342" s="3"/>
      <c r="V342" s="3"/>
      <c r="W342" s="3"/>
      <c r="X342" s="3"/>
    </row>
    <row r="343" spans="21:24" ht="13">
      <c r="U343" s="3"/>
      <c r="V343" s="3"/>
      <c r="W343" s="3"/>
      <c r="X343" s="3"/>
    </row>
    <row r="344" spans="21:24" ht="13">
      <c r="U344" s="3"/>
      <c r="V344" s="3"/>
      <c r="W344" s="3"/>
      <c r="X344" s="3"/>
    </row>
    <row r="345" spans="21:24" ht="13">
      <c r="U345" s="3"/>
      <c r="V345" s="3"/>
      <c r="W345" s="3"/>
      <c r="X345" s="3"/>
    </row>
    <row r="346" spans="21:24" ht="13">
      <c r="U346" s="3"/>
      <c r="V346" s="3"/>
      <c r="W346" s="3"/>
      <c r="X346" s="3"/>
    </row>
    <row r="347" spans="21:24" ht="13">
      <c r="U347" s="3"/>
      <c r="V347" s="3"/>
      <c r="W347" s="3"/>
      <c r="X347" s="3"/>
    </row>
    <row r="348" spans="21:24" ht="13">
      <c r="U348" s="3"/>
      <c r="V348" s="3"/>
      <c r="W348" s="3"/>
      <c r="X348" s="3"/>
    </row>
    <row r="349" spans="21:24" ht="13">
      <c r="U349" s="3"/>
      <c r="V349" s="3"/>
      <c r="W349" s="3"/>
      <c r="X349" s="3"/>
    </row>
    <row r="350" spans="21:24" ht="13">
      <c r="U350" s="3"/>
      <c r="V350" s="3"/>
      <c r="W350" s="3"/>
      <c r="X350" s="3"/>
    </row>
    <row r="351" spans="21:24" ht="13">
      <c r="U351" s="3"/>
      <c r="V351" s="3"/>
      <c r="W351" s="3"/>
      <c r="X351" s="3"/>
    </row>
    <row r="352" spans="21:24" ht="13">
      <c r="U352" s="3"/>
      <c r="V352" s="3"/>
      <c r="W352" s="3"/>
      <c r="X352" s="3"/>
    </row>
    <row r="353" spans="21:24" ht="13">
      <c r="U353" s="3"/>
      <c r="V353" s="3"/>
      <c r="W353" s="3"/>
      <c r="X353" s="3"/>
    </row>
    <row r="354" spans="21:24" ht="13">
      <c r="U354" s="3"/>
      <c r="V354" s="3"/>
      <c r="W354" s="3"/>
      <c r="X354" s="3"/>
    </row>
    <row r="355" spans="21:24" ht="13">
      <c r="U355" s="3"/>
      <c r="V355" s="3"/>
      <c r="W355" s="3"/>
      <c r="X355" s="3"/>
    </row>
    <row r="356" spans="21:24" ht="13">
      <c r="U356" s="3"/>
      <c r="V356" s="3"/>
      <c r="W356" s="3"/>
      <c r="X356" s="3"/>
    </row>
    <row r="357" spans="21:24" ht="13">
      <c r="U357" s="3"/>
      <c r="V357" s="3"/>
      <c r="W357" s="3"/>
      <c r="X357" s="3"/>
    </row>
    <row r="358" spans="21:24" ht="13">
      <c r="U358" s="3"/>
      <c r="V358" s="3"/>
      <c r="W358" s="3"/>
      <c r="X358" s="3"/>
    </row>
    <row r="359" spans="21:24" ht="13">
      <c r="U359" s="3"/>
      <c r="V359" s="3"/>
      <c r="W359" s="3"/>
      <c r="X359" s="3"/>
    </row>
    <row r="360" spans="21:24" ht="13">
      <c r="U360" s="3"/>
      <c r="V360" s="3"/>
      <c r="W360" s="3"/>
      <c r="X360" s="3"/>
    </row>
    <row r="361" spans="21:24" ht="13">
      <c r="U361" s="3"/>
      <c r="V361" s="3"/>
      <c r="W361" s="3"/>
      <c r="X361" s="3"/>
    </row>
    <row r="362" spans="21:24" ht="13">
      <c r="U362" s="3"/>
      <c r="V362" s="3"/>
      <c r="W362" s="3"/>
      <c r="X362" s="3"/>
    </row>
    <row r="363" spans="21:24" ht="13">
      <c r="U363" s="3"/>
      <c r="V363" s="3"/>
      <c r="W363" s="3"/>
      <c r="X363" s="3"/>
    </row>
    <row r="364" spans="21:24" ht="13">
      <c r="U364" s="3"/>
      <c r="V364" s="3"/>
      <c r="W364" s="3"/>
      <c r="X364" s="3"/>
    </row>
    <row r="365" spans="21:24" ht="13">
      <c r="U365" s="3"/>
      <c r="V365" s="3"/>
      <c r="W365" s="3"/>
      <c r="X365" s="3"/>
    </row>
    <row r="366" spans="21:24" ht="13">
      <c r="U366" s="3"/>
      <c r="V366" s="3"/>
      <c r="W366" s="3"/>
      <c r="X366" s="3"/>
    </row>
    <row r="367" spans="21:24" ht="13">
      <c r="U367" s="3"/>
      <c r="V367" s="3"/>
      <c r="W367" s="3"/>
      <c r="X367" s="3"/>
    </row>
    <row r="368" spans="21:24" ht="13">
      <c r="U368" s="3"/>
      <c r="V368" s="3"/>
      <c r="W368" s="3"/>
      <c r="X368" s="3"/>
    </row>
    <row r="369" spans="21:24" ht="13">
      <c r="U369" s="3"/>
      <c r="V369" s="3"/>
      <c r="W369" s="3"/>
      <c r="X369" s="3"/>
    </row>
    <row r="370" spans="21:24" ht="13">
      <c r="U370" s="3"/>
      <c r="V370" s="3"/>
      <c r="W370" s="3"/>
      <c r="X370" s="3"/>
    </row>
    <row r="371" spans="21:24" ht="13">
      <c r="U371" s="3"/>
      <c r="V371" s="3"/>
      <c r="W371" s="3"/>
      <c r="X371" s="3"/>
    </row>
    <row r="372" spans="21:24" ht="13">
      <c r="U372" s="3"/>
      <c r="V372" s="3"/>
      <c r="W372" s="3"/>
      <c r="X372" s="3"/>
    </row>
    <row r="373" spans="21:24" ht="13">
      <c r="U373" s="3"/>
      <c r="V373" s="3"/>
      <c r="W373" s="3"/>
      <c r="X373" s="3"/>
    </row>
    <row r="374" spans="21:24" ht="13">
      <c r="U374" s="3"/>
      <c r="V374" s="3"/>
      <c r="W374" s="3"/>
      <c r="X374" s="3"/>
    </row>
    <row r="375" spans="21:24" ht="13">
      <c r="U375" s="3"/>
      <c r="V375" s="3"/>
      <c r="W375" s="3"/>
      <c r="X375" s="3"/>
    </row>
    <row r="376" spans="21:24" ht="13">
      <c r="U376" s="3"/>
      <c r="V376" s="3"/>
      <c r="W376" s="3"/>
      <c r="X376" s="3"/>
    </row>
    <row r="377" spans="21:24" ht="13">
      <c r="U377" s="3"/>
      <c r="V377" s="3"/>
      <c r="W377" s="3"/>
      <c r="X377" s="3"/>
    </row>
    <row r="378" spans="21:24" ht="13">
      <c r="U378" s="3"/>
      <c r="V378" s="3"/>
      <c r="W378" s="3"/>
      <c r="X378" s="3"/>
    </row>
    <row r="379" spans="21:24" ht="13">
      <c r="U379" s="3"/>
      <c r="V379" s="3"/>
      <c r="W379" s="3"/>
      <c r="X379" s="3"/>
    </row>
    <row r="380" spans="21:24" ht="13">
      <c r="U380" s="3"/>
      <c r="V380" s="3"/>
      <c r="W380" s="3"/>
      <c r="X380" s="3"/>
    </row>
    <row r="381" spans="21:24" ht="13">
      <c r="U381" s="3"/>
      <c r="V381" s="3"/>
      <c r="W381" s="3"/>
      <c r="X381" s="3"/>
    </row>
    <row r="382" spans="21:24" ht="13">
      <c r="U382" s="3"/>
      <c r="V382" s="3"/>
      <c r="W382" s="3"/>
      <c r="X382" s="3"/>
    </row>
    <row r="383" spans="21:24" ht="13">
      <c r="U383" s="3"/>
      <c r="V383" s="3"/>
      <c r="W383" s="3"/>
      <c r="X383" s="3"/>
    </row>
    <row r="384" spans="21:24" ht="13">
      <c r="U384" s="3"/>
      <c r="V384" s="3"/>
      <c r="W384" s="3"/>
      <c r="X384" s="3"/>
    </row>
    <row r="385" spans="21:24" ht="13">
      <c r="U385" s="3"/>
      <c r="V385" s="3"/>
      <c r="W385" s="3"/>
      <c r="X385" s="3"/>
    </row>
    <row r="386" spans="21:24" ht="13">
      <c r="U386" s="3"/>
      <c r="V386" s="3"/>
      <c r="W386" s="3"/>
      <c r="X386" s="3"/>
    </row>
    <row r="387" spans="21:24" ht="13">
      <c r="U387" s="3"/>
      <c r="V387" s="3"/>
      <c r="W387" s="3"/>
      <c r="X387" s="3"/>
    </row>
    <row r="388" spans="21:24" ht="13">
      <c r="U388" s="3"/>
      <c r="V388" s="3"/>
      <c r="W388" s="3"/>
      <c r="X388" s="3"/>
    </row>
    <row r="389" spans="21:24" ht="13">
      <c r="U389" s="3"/>
      <c r="V389" s="3"/>
      <c r="W389" s="3"/>
      <c r="X389" s="3"/>
    </row>
    <row r="390" spans="21:24" ht="13">
      <c r="U390" s="3"/>
      <c r="V390" s="3"/>
      <c r="W390" s="3"/>
      <c r="X390" s="3"/>
    </row>
    <row r="391" spans="21:24" ht="13">
      <c r="U391" s="3"/>
      <c r="V391" s="3"/>
      <c r="W391" s="3"/>
      <c r="X391" s="3"/>
    </row>
    <row r="392" spans="21:24" ht="13">
      <c r="U392" s="3"/>
      <c r="V392" s="3"/>
      <c r="W392" s="3"/>
      <c r="X392" s="3"/>
    </row>
    <row r="393" spans="21:24" ht="13">
      <c r="U393" s="3"/>
      <c r="V393" s="3"/>
      <c r="W393" s="3"/>
      <c r="X393" s="3"/>
    </row>
    <row r="394" spans="21:24" ht="13">
      <c r="U394" s="3"/>
      <c r="V394" s="3"/>
      <c r="W394" s="3"/>
      <c r="X394" s="3"/>
    </row>
    <row r="395" spans="21:24" ht="13">
      <c r="U395" s="3"/>
      <c r="V395" s="3"/>
      <c r="W395" s="3"/>
      <c r="X395" s="3"/>
    </row>
    <row r="396" spans="21:24" ht="13">
      <c r="U396" s="3"/>
      <c r="V396" s="3"/>
      <c r="W396" s="3"/>
      <c r="X396" s="3"/>
    </row>
    <row r="397" spans="21:24" ht="13">
      <c r="U397" s="3"/>
      <c r="V397" s="3"/>
      <c r="W397" s="3"/>
      <c r="X397" s="3"/>
    </row>
    <row r="398" spans="21:24" ht="13">
      <c r="U398" s="3"/>
      <c r="V398" s="3"/>
      <c r="W398" s="3"/>
      <c r="X398" s="3"/>
    </row>
    <row r="399" spans="21:24" ht="13">
      <c r="U399" s="3"/>
      <c r="V399" s="3"/>
      <c r="W399" s="3"/>
      <c r="X399" s="3"/>
    </row>
    <row r="400" spans="21:24" ht="13">
      <c r="U400" s="3"/>
      <c r="V400" s="3"/>
      <c r="W400" s="3"/>
      <c r="X400" s="3"/>
    </row>
    <row r="401" spans="21:24" ht="13">
      <c r="U401" s="3"/>
      <c r="V401" s="3"/>
      <c r="W401" s="3"/>
      <c r="X401" s="3"/>
    </row>
    <row r="402" spans="21:24" ht="13">
      <c r="U402" s="3"/>
      <c r="V402" s="3"/>
      <c r="W402" s="3"/>
      <c r="X402" s="3"/>
    </row>
    <row r="403" spans="21:24" ht="13">
      <c r="U403" s="3"/>
      <c r="V403" s="3"/>
      <c r="W403" s="3"/>
      <c r="X403" s="3"/>
    </row>
    <row r="404" spans="21:24" ht="13">
      <c r="U404" s="3"/>
      <c r="V404" s="3"/>
      <c r="W404" s="3"/>
      <c r="X404" s="3"/>
    </row>
    <row r="405" spans="21:24" ht="13">
      <c r="U405" s="3"/>
      <c r="V405" s="3"/>
      <c r="W405" s="3"/>
      <c r="X405" s="3"/>
    </row>
    <row r="406" spans="21:24" ht="13">
      <c r="U406" s="3"/>
      <c r="V406" s="3"/>
      <c r="W406" s="3"/>
      <c r="X406" s="3"/>
    </row>
    <row r="407" spans="21:24" ht="13">
      <c r="U407" s="3"/>
      <c r="V407" s="3"/>
      <c r="W407" s="3"/>
      <c r="X407" s="3"/>
    </row>
    <row r="408" spans="21:24" ht="13">
      <c r="U408" s="3"/>
      <c r="V408" s="3"/>
      <c r="W408" s="3"/>
      <c r="X408" s="3"/>
    </row>
    <row r="409" spans="21:24" ht="13">
      <c r="U409" s="3"/>
      <c r="V409" s="3"/>
      <c r="W409" s="3"/>
      <c r="X409" s="3"/>
    </row>
    <row r="410" spans="21:24" ht="13">
      <c r="U410" s="3"/>
      <c r="V410" s="3"/>
      <c r="W410" s="3"/>
      <c r="X410" s="3"/>
    </row>
    <row r="411" spans="21:24" ht="13">
      <c r="U411" s="3"/>
      <c r="V411" s="3"/>
      <c r="W411" s="3"/>
      <c r="X411" s="3"/>
    </row>
    <row r="412" spans="21:24" ht="13">
      <c r="U412" s="3"/>
      <c r="V412" s="3"/>
      <c r="W412" s="3"/>
      <c r="X412" s="3"/>
    </row>
    <row r="413" spans="21:24" ht="13">
      <c r="U413" s="3"/>
      <c r="V413" s="3"/>
      <c r="W413" s="3"/>
      <c r="X413" s="3"/>
    </row>
    <row r="414" spans="21:24" ht="13">
      <c r="U414" s="3"/>
      <c r="V414" s="3"/>
      <c r="W414" s="3"/>
      <c r="X414" s="3"/>
    </row>
    <row r="415" spans="21:24" ht="13">
      <c r="U415" s="3"/>
      <c r="V415" s="3"/>
      <c r="W415" s="3"/>
      <c r="X415" s="3"/>
    </row>
    <row r="416" spans="21:24" ht="13">
      <c r="U416" s="3"/>
      <c r="V416" s="3"/>
      <c r="W416" s="3"/>
      <c r="X416" s="3"/>
    </row>
    <row r="417" spans="21:24" ht="13">
      <c r="U417" s="3"/>
      <c r="V417" s="3"/>
      <c r="W417" s="3"/>
      <c r="X417" s="3"/>
    </row>
    <row r="418" spans="21:24" ht="13">
      <c r="U418" s="3"/>
      <c r="V418" s="3"/>
      <c r="W418" s="3"/>
      <c r="X418" s="3"/>
    </row>
    <row r="419" spans="21:24" ht="13">
      <c r="U419" s="3"/>
      <c r="V419" s="3"/>
      <c r="W419" s="3"/>
      <c r="X419" s="3"/>
    </row>
    <row r="420" spans="21:24" ht="13">
      <c r="U420" s="3"/>
      <c r="V420" s="3"/>
      <c r="W420" s="3"/>
      <c r="X420" s="3"/>
    </row>
    <row r="421" spans="21:24" ht="13">
      <c r="U421" s="3"/>
      <c r="V421" s="3"/>
      <c r="W421" s="3"/>
      <c r="X421" s="3"/>
    </row>
    <row r="422" spans="21:24" ht="13">
      <c r="U422" s="3"/>
      <c r="V422" s="3"/>
      <c r="W422" s="3"/>
      <c r="X422" s="3"/>
    </row>
    <row r="423" spans="21:24" ht="13">
      <c r="U423" s="3"/>
      <c r="V423" s="3"/>
      <c r="W423" s="3"/>
      <c r="X423" s="3"/>
    </row>
    <row r="424" spans="21:24" ht="13">
      <c r="U424" s="3"/>
      <c r="V424" s="3"/>
      <c r="W424" s="3"/>
      <c r="X424" s="3"/>
    </row>
    <row r="425" spans="21:24" ht="13">
      <c r="U425" s="3"/>
      <c r="V425" s="3"/>
      <c r="W425" s="3"/>
      <c r="X425" s="3"/>
    </row>
    <row r="426" spans="21:24" ht="13">
      <c r="U426" s="3"/>
      <c r="V426" s="3"/>
      <c r="W426" s="3"/>
      <c r="X426" s="3"/>
    </row>
    <row r="427" spans="21:24" ht="13">
      <c r="U427" s="3"/>
      <c r="V427" s="3"/>
      <c r="W427" s="3"/>
      <c r="X427" s="3"/>
    </row>
    <row r="428" spans="21:24" ht="13">
      <c r="U428" s="3"/>
      <c r="V428" s="3"/>
      <c r="W428" s="3"/>
      <c r="X428" s="3"/>
    </row>
    <row r="429" spans="21:24" ht="13">
      <c r="U429" s="3"/>
      <c r="V429" s="3"/>
      <c r="W429" s="3"/>
      <c r="X429" s="3"/>
    </row>
    <row r="430" spans="21:24" ht="13">
      <c r="U430" s="3"/>
      <c r="V430" s="3"/>
      <c r="W430" s="3"/>
      <c r="X430" s="3"/>
    </row>
    <row r="431" spans="21:24" ht="13">
      <c r="U431" s="3"/>
      <c r="V431" s="3"/>
      <c r="W431" s="3"/>
      <c r="X431" s="3"/>
    </row>
    <row r="432" spans="21:24" ht="13">
      <c r="U432" s="3"/>
      <c r="V432" s="3"/>
      <c r="W432" s="3"/>
      <c r="X432" s="3"/>
    </row>
    <row r="433" spans="21:24" ht="13">
      <c r="U433" s="3"/>
      <c r="V433" s="3"/>
      <c r="W433" s="3"/>
      <c r="X433" s="3"/>
    </row>
    <row r="434" spans="21:24" ht="13">
      <c r="U434" s="3"/>
      <c r="V434" s="3"/>
      <c r="W434" s="3"/>
      <c r="X434" s="3"/>
    </row>
    <row r="435" spans="21:24" ht="13">
      <c r="U435" s="3"/>
      <c r="V435" s="3"/>
      <c r="W435" s="3"/>
      <c r="X435" s="3"/>
    </row>
    <row r="436" spans="21:24" ht="13">
      <c r="U436" s="3"/>
      <c r="V436" s="3"/>
      <c r="W436" s="3"/>
      <c r="X436" s="3"/>
    </row>
    <row r="437" spans="21:24" ht="13">
      <c r="U437" s="3"/>
      <c r="V437" s="3"/>
      <c r="W437" s="3"/>
      <c r="X437" s="3"/>
    </row>
    <row r="438" spans="21:24" ht="13">
      <c r="U438" s="3"/>
      <c r="V438" s="3"/>
      <c r="W438" s="3"/>
      <c r="X438" s="3"/>
    </row>
    <row r="439" spans="21:24" ht="13">
      <c r="U439" s="3"/>
      <c r="V439" s="3"/>
      <c r="W439" s="3"/>
      <c r="X439" s="3"/>
    </row>
    <row r="440" spans="21:24" ht="13">
      <c r="U440" s="3"/>
      <c r="V440" s="3"/>
      <c r="W440" s="3"/>
      <c r="X440" s="3"/>
    </row>
    <row r="441" spans="21:24" ht="13">
      <c r="U441" s="3"/>
      <c r="V441" s="3"/>
      <c r="W441" s="3"/>
      <c r="X441" s="3"/>
    </row>
    <row r="442" spans="21:24" ht="13">
      <c r="U442" s="3"/>
      <c r="V442" s="3"/>
      <c r="W442" s="3"/>
      <c r="X442" s="3"/>
    </row>
    <row r="443" spans="21:24" ht="13">
      <c r="U443" s="3"/>
      <c r="V443" s="3"/>
      <c r="W443" s="3"/>
      <c r="X443" s="3"/>
    </row>
    <row r="444" spans="21:24" ht="13">
      <c r="U444" s="3"/>
      <c r="V444" s="3"/>
      <c r="W444" s="3"/>
      <c r="X444" s="3"/>
    </row>
    <row r="445" spans="21:24" ht="13">
      <c r="U445" s="3"/>
      <c r="V445" s="3"/>
      <c r="W445" s="3"/>
      <c r="X445" s="3"/>
    </row>
    <row r="446" spans="21:24" ht="13">
      <c r="U446" s="3"/>
      <c r="V446" s="3"/>
      <c r="W446" s="3"/>
      <c r="X446" s="3"/>
    </row>
    <row r="447" spans="21:24" ht="13">
      <c r="U447" s="3"/>
      <c r="V447" s="3"/>
      <c r="W447" s="3"/>
      <c r="X447" s="3"/>
    </row>
    <row r="448" spans="21:24" ht="13">
      <c r="U448" s="3"/>
      <c r="V448" s="3"/>
      <c r="W448" s="3"/>
      <c r="X448" s="3"/>
    </row>
    <row r="449" spans="21:24" ht="13">
      <c r="U449" s="3"/>
      <c r="V449" s="3"/>
      <c r="W449" s="3"/>
      <c r="X449" s="3"/>
    </row>
    <row r="450" spans="21:24" ht="13">
      <c r="U450" s="3"/>
      <c r="V450" s="3"/>
      <c r="W450" s="3"/>
      <c r="X450" s="3"/>
    </row>
    <row r="451" spans="21:24" ht="13">
      <c r="U451" s="3"/>
      <c r="V451" s="3"/>
      <c r="W451" s="3"/>
      <c r="X451" s="3"/>
    </row>
    <row r="452" spans="21:24" ht="13">
      <c r="U452" s="3"/>
      <c r="V452" s="3"/>
      <c r="W452" s="3"/>
      <c r="X452" s="3"/>
    </row>
    <row r="453" spans="21:24" ht="13">
      <c r="U453" s="3"/>
      <c r="V453" s="3"/>
      <c r="W453" s="3"/>
      <c r="X453" s="3"/>
    </row>
    <row r="454" spans="21:24" ht="13">
      <c r="U454" s="3"/>
      <c r="V454" s="3"/>
      <c r="W454" s="3"/>
      <c r="X454" s="3"/>
    </row>
    <row r="455" spans="21:24" ht="13">
      <c r="U455" s="3"/>
      <c r="V455" s="3"/>
      <c r="W455" s="3"/>
      <c r="X455" s="3"/>
    </row>
    <row r="456" spans="21:24" ht="13">
      <c r="U456" s="3"/>
      <c r="V456" s="3"/>
      <c r="W456" s="3"/>
      <c r="X456" s="3"/>
    </row>
    <row r="457" spans="21:24" ht="13">
      <c r="U457" s="3"/>
      <c r="V457" s="3"/>
      <c r="W457" s="3"/>
      <c r="X457" s="3"/>
    </row>
    <row r="458" spans="21:24" ht="13">
      <c r="U458" s="3"/>
      <c r="V458" s="3"/>
      <c r="W458" s="3"/>
      <c r="X458" s="3"/>
    </row>
    <row r="459" spans="21:24" ht="13">
      <c r="U459" s="3"/>
      <c r="V459" s="3"/>
      <c r="W459" s="3"/>
      <c r="X459" s="3"/>
    </row>
    <row r="460" spans="21:24" ht="13">
      <c r="U460" s="3"/>
      <c r="V460" s="3"/>
      <c r="W460" s="3"/>
      <c r="X460" s="3"/>
    </row>
    <row r="461" spans="21:24" ht="13">
      <c r="U461" s="3"/>
      <c r="V461" s="3"/>
      <c r="W461" s="3"/>
      <c r="X461" s="3"/>
    </row>
    <row r="462" spans="21:24" ht="13">
      <c r="U462" s="3"/>
      <c r="V462" s="3"/>
      <c r="W462" s="3"/>
      <c r="X462" s="3"/>
    </row>
    <row r="463" spans="21:24" ht="13">
      <c r="U463" s="3"/>
      <c r="V463" s="3"/>
      <c r="W463" s="3"/>
      <c r="X463" s="3"/>
    </row>
    <row r="464" spans="21:24" ht="13">
      <c r="U464" s="3"/>
      <c r="V464" s="3"/>
      <c r="W464" s="3"/>
      <c r="X464" s="3"/>
    </row>
    <row r="465" spans="21:24" ht="13">
      <c r="U465" s="3"/>
      <c r="V465" s="3"/>
      <c r="W465" s="3"/>
      <c r="X465" s="3"/>
    </row>
    <row r="466" spans="21:24" ht="13">
      <c r="U466" s="3"/>
      <c r="V466" s="3"/>
      <c r="W466" s="3"/>
      <c r="X466" s="3"/>
    </row>
    <row r="467" spans="21:24" ht="13">
      <c r="U467" s="3"/>
      <c r="V467" s="3"/>
      <c r="W467" s="3"/>
      <c r="X467" s="3"/>
    </row>
    <row r="468" spans="21:24" ht="13">
      <c r="U468" s="3"/>
      <c r="V468" s="3"/>
      <c r="W468" s="3"/>
      <c r="X468" s="3"/>
    </row>
    <row r="469" spans="21:24" ht="13">
      <c r="U469" s="3"/>
      <c r="V469" s="3"/>
      <c r="W469" s="3"/>
      <c r="X469" s="3"/>
    </row>
    <row r="470" spans="21:24" ht="13">
      <c r="U470" s="3"/>
      <c r="V470" s="3"/>
      <c r="W470" s="3"/>
      <c r="X470" s="3"/>
    </row>
    <row r="471" spans="21:24" ht="13">
      <c r="U471" s="3"/>
      <c r="V471" s="3"/>
      <c r="W471" s="3"/>
      <c r="X471" s="3"/>
    </row>
    <row r="472" spans="21:24" ht="13">
      <c r="U472" s="3"/>
      <c r="V472" s="3"/>
      <c r="W472" s="3"/>
      <c r="X472" s="3"/>
    </row>
    <row r="473" spans="21:24" ht="13">
      <c r="U473" s="3"/>
      <c r="V473" s="3"/>
      <c r="W473" s="3"/>
      <c r="X473" s="3"/>
    </row>
    <row r="474" spans="21:24" ht="13">
      <c r="U474" s="3"/>
      <c r="V474" s="3"/>
      <c r="W474" s="3"/>
      <c r="X474" s="3"/>
    </row>
    <row r="475" spans="21:24" ht="13">
      <c r="U475" s="3"/>
      <c r="V475" s="3"/>
      <c r="W475" s="3"/>
      <c r="X475" s="3"/>
    </row>
    <row r="476" spans="21:24" ht="13">
      <c r="U476" s="3"/>
      <c r="V476" s="3"/>
      <c r="W476" s="3"/>
      <c r="X476" s="3"/>
    </row>
    <row r="477" spans="21:24" ht="13">
      <c r="U477" s="3"/>
      <c r="V477" s="3"/>
      <c r="W477" s="3"/>
      <c r="X477" s="3"/>
    </row>
    <row r="478" spans="21:24" ht="13">
      <c r="U478" s="3"/>
      <c r="V478" s="3"/>
      <c r="W478" s="3"/>
      <c r="X478" s="3"/>
    </row>
    <row r="479" spans="21:24" ht="13">
      <c r="U479" s="3"/>
      <c r="V479" s="3"/>
      <c r="W479" s="3"/>
      <c r="X479" s="3"/>
    </row>
    <row r="480" spans="21:24" ht="13">
      <c r="U480" s="3"/>
      <c r="V480" s="3"/>
      <c r="W480" s="3"/>
      <c r="X480" s="3"/>
    </row>
    <row r="481" spans="21:24" ht="13">
      <c r="U481" s="3"/>
      <c r="V481" s="3"/>
      <c r="W481" s="3"/>
      <c r="X481" s="3"/>
    </row>
    <row r="482" spans="21:24" ht="13">
      <c r="U482" s="3"/>
      <c r="V482" s="3"/>
      <c r="W482" s="3"/>
      <c r="X482" s="3"/>
    </row>
    <row r="483" spans="21:24" ht="13">
      <c r="U483" s="3"/>
      <c r="V483" s="3"/>
      <c r="W483" s="3"/>
      <c r="X483" s="3"/>
    </row>
    <row r="484" spans="21:24" ht="13">
      <c r="U484" s="3"/>
      <c r="V484" s="3"/>
      <c r="W484" s="3"/>
      <c r="X484" s="3"/>
    </row>
    <row r="485" spans="21:24" ht="13">
      <c r="U485" s="3"/>
      <c r="V485" s="3"/>
      <c r="W485" s="3"/>
      <c r="X485" s="3"/>
    </row>
    <row r="486" spans="21:24" ht="13">
      <c r="U486" s="3"/>
      <c r="V486" s="3"/>
      <c r="W486" s="3"/>
      <c r="X486" s="3"/>
    </row>
    <row r="487" spans="21:24" ht="13">
      <c r="U487" s="3"/>
      <c r="V487" s="3"/>
      <c r="W487" s="3"/>
      <c r="X487" s="3"/>
    </row>
    <row r="488" spans="21:24" ht="13">
      <c r="U488" s="3"/>
      <c r="V488" s="3"/>
      <c r="W488" s="3"/>
      <c r="X488" s="3"/>
    </row>
    <row r="489" spans="21:24" ht="13">
      <c r="U489" s="3"/>
      <c r="V489" s="3"/>
      <c r="W489" s="3"/>
      <c r="X489" s="3"/>
    </row>
    <row r="490" spans="21:24" ht="13">
      <c r="U490" s="3"/>
      <c r="V490" s="3"/>
      <c r="W490" s="3"/>
      <c r="X490" s="3"/>
    </row>
    <row r="491" spans="21:24" ht="13">
      <c r="U491" s="3"/>
      <c r="V491" s="3"/>
      <c r="W491" s="3"/>
      <c r="X491" s="3"/>
    </row>
    <row r="492" spans="21:24" ht="13">
      <c r="U492" s="3"/>
      <c r="V492" s="3"/>
      <c r="W492" s="3"/>
      <c r="X492" s="3"/>
    </row>
    <row r="493" spans="21:24" ht="13">
      <c r="U493" s="3"/>
      <c r="V493" s="3"/>
      <c r="W493" s="3"/>
      <c r="X493" s="3"/>
    </row>
    <row r="494" spans="21:24" ht="13">
      <c r="U494" s="3"/>
      <c r="V494" s="3"/>
      <c r="W494" s="3"/>
      <c r="X494" s="3"/>
    </row>
    <row r="495" spans="21:24" ht="13">
      <c r="U495" s="3"/>
      <c r="V495" s="3"/>
      <c r="W495" s="3"/>
      <c r="X495" s="3"/>
    </row>
    <row r="496" spans="21:24" ht="13">
      <c r="U496" s="3"/>
      <c r="V496" s="3"/>
      <c r="W496" s="3"/>
      <c r="X496" s="3"/>
    </row>
    <row r="497" spans="21:24" ht="13">
      <c r="U497" s="3"/>
      <c r="V497" s="3"/>
      <c r="W497" s="3"/>
      <c r="X497" s="3"/>
    </row>
    <row r="498" spans="21:24" ht="13">
      <c r="U498" s="3"/>
      <c r="V498" s="3"/>
      <c r="W498" s="3"/>
      <c r="X498" s="3"/>
    </row>
    <row r="499" spans="21:24" ht="13">
      <c r="U499" s="3"/>
      <c r="V499" s="3"/>
      <c r="W499" s="3"/>
      <c r="X499" s="3"/>
    </row>
    <row r="500" spans="21:24" ht="13">
      <c r="U500" s="3"/>
      <c r="V500" s="3"/>
      <c r="W500" s="3"/>
      <c r="X500" s="3"/>
    </row>
    <row r="501" spans="21:24" ht="13">
      <c r="U501" s="3"/>
      <c r="V501" s="3"/>
      <c r="W501" s="3"/>
      <c r="X501" s="3"/>
    </row>
    <row r="502" spans="21:24" ht="13">
      <c r="U502" s="3"/>
      <c r="V502" s="3"/>
      <c r="W502" s="3"/>
      <c r="X502" s="3"/>
    </row>
    <row r="503" spans="21:24" ht="13">
      <c r="U503" s="3"/>
      <c r="V503" s="3"/>
      <c r="W503" s="3"/>
      <c r="X503" s="3"/>
    </row>
    <row r="504" spans="21:24" ht="13">
      <c r="U504" s="3"/>
      <c r="V504" s="3"/>
      <c r="W504" s="3"/>
      <c r="X504" s="3"/>
    </row>
    <row r="505" spans="21:24" ht="13">
      <c r="U505" s="3"/>
      <c r="V505" s="3"/>
      <c r="W505" s="3"/>
      <c r="X505" s="3"/>
    </row>
    <row r="506" spans="21:24" ht="13">
      <c r="U506" s="3"/>
      <c r="V506" s="3"/>
      <c r="W506" s="3"/>
      <c r="X506" s="3"/>
    </row>
    <row r="507" spans="21:24" ht="13">
      <c r="U507" s="3"/>
      <c r="V507" s="3"/>
      <c r="W507" s="3"/>
      <c r="X507" s="3"/>
    </row>
    <row r="508" spans="21:24" ht="13">
      <c r="U508" s="3"/>
      <c r="V508" s="3"/>
      <c r="W508" s="3"/>
      <c r="X508" s="3"/>
    </row>
    <row r="509" spans="21:24" ht="13">
      <c r="U509" s="3"/>
      <c r="V509" s="3"/>
      <c r="W509" s="3"/>
      <c r="X509" s="3"/>
    </row>
    <row r="510" spans="21:24" ht="13">
      <c r="U510" s="3"/>
      <c r="V510" s="3"/>
      <c r="W510" s="3"/>
      <c r="X510" s="3"/>
    </row>
    <row r="511" spans="21:24" ht="13">
      <c r="U511" s="3"/>
      <c r="V511" s="3"/>
      <c r="W511" s="3"/>
      <c r="X511" s="3"/>
    </row>
    <row r="512" spans="21:24" ht="13">
      <c r="U512" s="3"/>
      <c r="V512" s="3"/>
      <c r="W512" s="3"/>
      <c r="X512" s="3"/>
    </row>
    <row r="513" spans="21:24" ht="13">
      <c r="U513" s="3"/>
      <c r="V513" s="3"/>
      <c r="W513" s="3"/>
      <c r="X513" s="3"/>
    </row>
    <row r="514" spans="21:24" ht="13">
      <c r="U514" s="3"/>
      <c r="V514" s="3"/>
      <c r="W514" s="3"/>
      <c r="X514" s="3"/>
    </row>
    <row r="515" spans="21:24" ht="13">
      <c r="U515" s="3"/>
      <c r="V515" s="3"/>
      <c r="W515" s="3"/>
      <c r="X515" s="3"/>
    </row>
    <row r="516" spans="21:24" ht="13">
      <c r="U516" s="3"/>
      <c r="V516" s="3"/>
      <c r="W516" s="3"/>
      <c r="X516" s="3"/>
    </row>
    <row r="517" spans="21:24" ht="13">
      <c r="U517" s="3"/>
      <c r="V517" s="3"/>
      <c r="W517" s="3"/>
      <c r="X517" s="3"/>
    </row>
    <row r="518" spans="21:24" ht="13">
      <c r="U518" s="3"/>
      <c r="V518" s="3"/>
      <c r="W518" s="3"/>
      <c r="X518" s="3"/>
    </row>
    <row r="519" spans="21:24" ht="13">
      <c r="U519" s="3"/>
      <c r="V519" s="3"/>
      <c r="W519" s="3"/>
      <c r="X519" s="3"/>
    </row>
    <row r="520" spans="21:24" ht="13">
      <c r="U520" s="3"/>
      <c r="V520" s="3"/>
      <c r="W520" s="3"/>
      <c r="X520" s="3"/>
    </row>
    <row r="521" spans="21:24" ht="13">
      <c r="U521" s="3"/>
      <c r="V521" s="3"/>
      <c r="W521" s="3"/>
      <c r="X521" s="3"/>
    </row>
    <row r="522" spans="21:24" ht="13">
      <c r="U522" s="3"/>
      <c r="V522" s="3"/>
      <c r="W522" s="3"/>
      <c r="X522" s="3"/>
    </row>
    <row r="523" spans="21:24" ht="13">
      <c r="U523" s="3"/>
      <c r="V523" s="3"/>
      <c r="W523" s="3"/>
      <c r="X523" s="3"/>
    </row>
    <row r="524" spans="21:24" ht="13">
      <c r="U524" s="3"/>
      <c r="V524" s="3"/>
      <c r="W524" s="3"/>
      <c r="X524" s="3"/>
    </row>
    <row r="525" spans="21:24" ht="13">
      <c r="U525" s="3"/>
      <c r="V525" s="3"/>
      <c r="W525" s="3"/>
      <c r="X525" s="3"/>
    </row>
    <row r="526" spans="21:24" ht="13">
      <c r="U526" s="3"/>
      <c r="V526" s="3"/>
      <c r="W526" s="3"/>
      <c r="X526" s="3"/>
    </row>
    <row r="527" spans="21:24" ht="13">
      <c r="U527" s="3"/>
      <c r="V527" s="3"/>
      <c r="W527" s="3"/>
      <c r="X527" s="3"/>
    </row>
    <row r="528" spans="21:24" ht="13">
      <c r="U528" s="3"/>
      <c r="V528" s="3"/>
      <c r="W528" s="3"/>
      <c r="X528" s="3"/>
    </row>
    <row r="529" spans="21:24" ht="13">
      <c r="U529" s="3"/>
      <c r="V529" s="3"/>
      <c r="W529" s="3"/>
      <c r="X529" s="3"/>
    </row>
    <row r="530" spans="21:24" ht="13">
      <c r="U530" s="3"/>
      <c r="V530" s="3"/>
      <c r="W530" s="3"/>
      <c r="X530" s="3"/>
    </row>
    <row r="531" spans="21:24" ht="13">
      <c r="U531" s="3"/>
      <c r="V531" s="3"/>
      <c r="W531" s="3"/>
      <c r="X531" s="3"/>
    </row>
    <row r="532" spans="21:24" ht="13">
      <c r="U532" s="3"/>
      <c r="V532" s="3"/>
      <c r="W532" s="3"/>
      <c r="X532" s="3"/>
    </row>
    <row r="533" spans="21:24" ht="13">
      <c r="U533" s="3"/>
      <c r="V533" s="3"/>
      <c r="W533" s="3"/>
      <c r="X533" s="3"/>
    </row>
    <row r="534" spans="21:24" ht="13">
      <c r="U534" s="3"/>
      <c r="V534" s="3"/>
      <c r="W534" s="3"/>
      <c r="X534" s="3"/>
    </row>
    <row r="535" spans="21:24" ht="13">
      <c r="U535" s="3"/>
      <c r="V535" s="3"/>
      <c r="W535" s="3"/>
      <c r="X535" s="3"/>
    </row>
    <row r="536" spans="21:24" ht="13">
      <c r="U536" s="3"/>
      <c r="V536" s="3"/>
      <c r="W536" s="3"/>
      <c r="X536" s="3"/>
    </row>
    <row r="537" spans="21:24" ht="13">
      <c r="U537" s="3"/>
      <c r="V537" s="3"/>
      <c r="W537" s="3"/>
      <c r="X537" s="3"/>
    </row>
    <row r="538" spans="21:24" ht="13">
      <c r="U538" s="3"/>
      <c r="V538" s="3"/>
      <c r="W538" s="3"/>
      <c r="X538" s="3"/>
    </row>
    <row r="539" spans="21:24" ht="13">
      <c r="U539" s="3"/>
      <c r="V539" s="3"/>
      <c r="W539" s="3"/>
      <c r="X539" s="3"/>
    </row>
    <row r="540" spans="21:24" ht="13">
      <c r="U540" s="3"/>
      <c r="V540" s="3"/>
      <c r="W540" s="3"/>
      <c r="X540" s="3"/>
    </row>
    <row r="541" spans="21:24" ht="13">
      <c r="U541" s="3"/>
      <c r="V541" s="3"/>
      <c r="W541" s="3"/>
      <c r="X541" s="3"/>
    </row>
    <row r="542" spans="21:24" ht="13">
      <c r="U542" s="3"/>
      <c r="V542" s="3"/>
      <c r="W542" s="3"/>
      <c r="X542" s="3"/>
    </row>
    <row r="543" spans="21:24" ht="13">
      <c r="U543" s="3"/>
      <c r="V543" s="3"/>
      <c r="W543" s="3"/>
      <c r="X543" s="3"/>
    </row>
    <row r="544" spans="21:24" ht="13">
      <c r="U544" s="3"/>
      <c r="V544" s="3"/>
      <c r="W544" s="3"/>
      <c r="X544" s="3"/>
    </row>
    <row r="545" spans="21:24" ht="13">
      <c r="U545" s="3"/>
      <c r="V545" s="3"/>
      <c r="W545" s="3"/>
      <c r="X545" s="3"/>
    </row>
    <row r="546" spans="21:24" ht="13">
      <c r="U546" s="3"/>
      <c r="V546" s="3"/>
      <c r="W546" s="3"/>
      <c r="X546" s="3"/>
    </row>
    <row r="547" spans="21:24" ht="13">
      <c r="U547" s="3"/>
      <c r="V547" s="3"/>
      <c r="W547" s="3"/>
      <c r="X547" s="3"/>
    </row>
    <row r="548" spans="21:24" ht="13">
      <c r="U548" s="3"/>
      <c r="V548" s="3"/>
      <c r="W548" s="3"/>
      <c r="X548" s="3"/>
    </row>
    <row r="549" spans="21:24" ht="13">
      <c r="U549" s="3"/>
      <c r="V549" s="3"/>
      <c r="W549" s="3"/>
      <c r="X549" s="3"/>
    </row>
    <row r="550" spans="21:24" ht="13">
      <c r="U550" s="3"/>
      <c r="V550" s="3"/>
      <c r="W550" s="3"/>
      <c r="X550" s="3"/>
    </row>
    <row r="551" spans="21:24" ht="13">
      <c r="U551" s="3"/>
      <c r="V551" s="3"/>
      <c r="W551" s="3"/>
      <c r="X551" s="3"/>
    </row>
    <row r="552" spans="21:24" ht="13">
      <c r="U552" s="3"/>
      <c r="V552" s="3"/>
      <c r="W552" s="3"/>
      <c r="X552" s="3"/>
    </row>
    <row r="553" spans="21:24" ht="13">
      <c r="U553" s="3"/>
      <c r="V553" s="3"/>
      <c r="W553" s="3"/>
      <c r="X553" s="3"/>
    </row>
    <row r="554" spans="21:24" ht="13">
      <c r="U554" s="3"/>
      <c r="V554" s="3"/>
      <c r="W554" s="3"/>
      <c r="X554" s="3"/>
    </row>
    <row r="555" spans="21:24" ht="13">
      <c r="U555" s="3"/>
      <c r="V555" s="3"/>
      <c r="W555" s="3"/>
      <c r="X555" s="3"/>
    </row>
    <row r="556" spans="21:24" ht="13">
      <c r="U556" s="3"/>
      <c r="V556" s="3"/>
      <c r="W556" s="3"/>
      <c r="X556" s="3"/>
    </row>
    <row r="557" spans="21:24" ht="13">
      <c r="U557" s="3"/>
      <c r="V557" s="3"/>
      <c r="W557" s="3"/>
      <c r="X557" s="3"/>
    </row>
    <row r="558" spans="21:24" ht="13">
      <c r="U558" s="3"/>
      <c r="V558" s="3"/>
      <c r="W558" s="3"/>
      <c r="X558" s="3"/>
    </row>
    <row r="559" spans="21:24" ht="13">
      <c r="U559" s="3"/>
      <c r="V559" s="3"/>
      <c r="W559" s="3"/>
      <c r="X559" s="3"/>
    </row>
    <row r="560" spans="21:24" ht="13">
      <c r="U560" s="3"/>
      <c r="V560" s="3"/>
      <c r="W560" s="3"/>
      <c r="X560" s="3"/>
    </row>
    <row r="561" spans="21:24" ht="13">
      <c r="U561" s="3"/>
      <c r="V561" s="3"/>
      <c r="W561" s="3"/>
      <c r="X561" s="3"/>
    </row>
    <row r="562" spans="21:24" ht="13">
      <c r="U562" s="3"/>
      <c r="V562" s="3"/>
      <c r="W562" s="3"/>
      <c r="X562" s="3"/>
    </row>
    <row r="563" spans="21:24" ht="13">
      <c r="U563" s="3"/>
      <c r="V563" s="3"/>
      <c r="W563" s="3"/>
      <c r="X563" s="3"/>
    </row>
    <row r="564" spans="21:24" ht="13">
      <c r="U564" s="3"/>
      <c r="V564" s="3"/>
      <c r="W564" s="3"/>
      <c r="X564" s="3"/>
    </row>
    <row r="565" spans="21:24" ht="13">
      <c r="U565" s="3"/>
      <c r="V565" s="3"/>
      <c r="W565" s="3"/>
      <c r="X565" s="3"/>
    </row>
    <row r="566" spans="21:24" ht="13">
      <c r="U566" s="3"/>
      <c r="V566" s="3"/>
      <c r="W566" s="3"/>
      <c r="X566" s="3"/>
    </row>
    <row r="567" spans="21:24" ht="13">
      <c r="U567" s="3"/>
      <c r="V567" s="3"/>
      <c r="W567" s="3"/>
      <c r="X567" s="3"/>
    </row>
    <row r="568" spans="21:24" ht="13">
      <c r="U568" s="3"/>
      <c r="V568" s="3"/>
      <c r="W568" s="3"/>
      <c r="X568" s="3"/>
    </row>
    <row r="569" spans="21:24" ht="13">
      <c r="U569" s="3"/>
      <c r="V569" s="3"/>
      <c r="W569" s="3"/>
      <c r="X569" s="3"/>
    </row>
    <row r="570" spans="21:24" ht="13">
      <c r="U570" s="3"/>
      <c r="V570" s="3"/>
      <c r="W570" s="3"/>
      <c r="X570" s="3"/>
    </row>
    <row r="571" spans="21:24" ht="13">
      <c r="U571" s="3"/>
      <c r="V571" s="3"/>
      <c r="W571" s="3"/>
      <c r="X571" s="3"/>
    </row>
    <row r="572" spans="21:24" ht="13">
      <c r="U572" s="3"/>
      <c r="V572" s="3"/>
      <c r="W572" s="3"/>
      <c r="X572" s="3"/>
    </row>
    <row r="573" spans="21:24" ht="13">
      <c r="U573" s="3"/>
      <c r="V573" s="3"/>
      <c r="W573" s="3"/>
      <c r="X573" s="3"/>
    </row>
    <row r="574" spans="21:24" ht="13">
      <c r="U574" s="3"/>
      <c r="V574" s="3"/>
      <c r="W574" s="3"/>
      <c r="X574" s="3"/>
    </row>
    <row r="575" spans="21:24" ht="13">
      <c r="U575" s="3"/>
      <c r="V575" s="3"/>
      <c r="W575" s="3"/>
      <c r="X575" s="3"/>
    </row>
    <row r="576" spans="21:24" ht="13">
      <c r="U576" s="3"/>
      <c r="V576" s="3"/>
      <c r="W576" s="3"/>
      <c r="X576" s="3"/>
    </row>
    <row r="577" spans="21:24" ht="13">
      <c r="U577" s="3"/>
      <c r="V577" s="3"/>
      <c r="W577" s="3"/>
      <c r="X577" s="3"/>
    </row>
    <row r="578" spans="21:24" ht="13">
      <c r="U578" s="3"/>
      <c r="V578" s="3"/>
      <c r="W578" s="3"/>
      <c r="X578" s="3"/>
    </row>
    <row r="579" spans="21:24" ht="13">
      <c r="U579" s="3"/>
      <c r="V579" s="3"/>
      <c r="W579" s="3"/>
      <c r="X579" s="3"/>
    </row>
    <row r="580" spans="21:24" ht="13">
      <c r="U580" s="3"/>
      <c r="V580" s="3"/>
      <c r="W580" s="3"/>
      <c r="X580" s="3"/>
    </row>
    <row r="581" spans="21:24" ht="13">
      <c r="U581" s="3"/>
      <c r="V581" s="3"/>
      <c r="W581" s="3"/>
      <c r="X581" s="3"/>
    </row>
    <row r="582" spans="21:24" ht="13">
      <c r="U582" s="3"/>
      <c r="V582" s="3"/>
      <c r="W582" s="3"/>
      <c r="X582" s="3"/>
    </row>
    <row r="583" spans="21:24" ht="13">
      <c r="U583" s="3"/>
      <c r="V583" s="3"/>
      <c r="W583" s="3"/>
      <c r="X583" s="3"/>
    </row>
    <row r="584" spans="21:24" ht="13">
      <c r="U584" s="3"/>
      <c r="V584" s="3"/>
      <c r="W584" s="3"/>
      <c r="X584" s="3"/>
    </row>
    <row r="585" spans="21:24" ht="13">
      <c r="U585" s="3"/>
      <c r="V585" s="3"/>
      <c r="W585" s="3"/>
      <c r="X585" s="3"/>
    </row>
    <row r="586" spans="21:24" ht="13">
      <c r="U586" s="3"/>
      <c r="V586" s="3"/>
      <c r="W586" s="3"/>
      <c r="X586" s="3"/>
    </row>
    <row r="587" spans="21:24" ht="13">
      <c r="U587" s="3"/>
      <c r="V587" s="3"/>
      <c r="W587" s="3"/>
      <c r="X587" s="3"/>
    </row>
    <row r="588" spans="21:24" ht="13">
      <c r="U588" s="3"/>
      <c r="V588" s="3"/>
      <c r="W588" s="3"/>
      <c r="X588" s="3"/>
    </row>
    <row r="589" spans="21:24" ht="13">
      <c r="U589" s="3"/>
      <c r="V589" s="3"/>
      <c r="W589" s="3"/>
      <c r="X589" s="3"/>
    </row>
    <row r="590" spans="21:24" ht="13">
      <c r="U590" s="3"/>
      <c r="V590" s="3"/>
      <c r="W590" s="3"/>
      <c r="X590" s="3"/>
    </row>
    <row r="591" spans="21:24" ht="13">
      <c r="U591" s="3"/>
      <c r="V591" s="3"/>
      <c r="W591" s="3"/>
      <c r="X591" s="3"/>
    </row>
    <row r="592" spans="21:24" ht="13">
      <c r="U592" s="3"/>
      <c r="V592" s="3"/>
      <c r="W592" s="3"/>
      <c r="X592" s="3"/>
    </row>
    <row r="593" spans="21:24" ht="13">
      <c r="U593" s="3"/>
      <c r="V593" s="3"/>
      <c r="W593" s="3"/>
      <c r="X593" s="3"/>
    </row>
    <row r="594" spans="21:24" ht="13">
      <c r="U594" s="3"/>
      <c r="V594" s="3"/>
      <c r="W594" s="3"/>
      <c r="X594" s="3"/>
    </row>
    <row r="595" spans="21:24" ht="13">
      <c r="U595" s="3"/>
      <c r="V595" s="3"/>
      <c r="W595" s="3"/>
      <c r="X595" s="3"/>
    </row>
    <row r="596" spans="21:24" ht="13">
      <c r="U596" s="3"/>
      <c r="V596" s="3"/>
      <c r="W596" s="3"/>
      <c r="X596" s="3"/>
    </row>
    <row r="597" spans="21:24" ht="13">
      <c r="U597" s="3"/>
      <c r="V597" s="3"/>
      <c r="W597" s="3"/>
      <c r="X597" s="3"/>
    </row>
    <row r="598" spans="21:24" ht="13">
      <c r="U598" s="3"/>
      <c r="V598" s="3"/>
      <c r="W598" s="3"/>
      <c r="X598" s="3"/>
    </row>
    <row r="599" spans="21:24" ht="13">
      <c r="U599" s="3"/>
      <c r="V599" s="3"/>
      <c r="W599" s="3"/>
      <c r="X599" s="3"/>
    </row>
    <row r="600" spans="21:24" ht="13">
      <c r="U600" s="3"/>
      <c r="V600" s="3"/>
      <c r="W600" s="3"/>
      <c r="X600" s="3"/>
    </row>
    <row r="601" spans="21:24" ht="13">
      <c r="U601" s="3"/>
      <c r="V601" s="3"/>
      <c r="W601" s="3"/>
      <c r="X601" s="3"/>
    </row>
    <row r="602" spans="21:24" ht="13">
      <c r="U602" s="3"/>
      <c r="V602" s="3"/>
      <c r="W602" s="3"/>
      <c r="X602" s="3"/>
    </row>
    <row r="603" spans="21:24" ht="13">
      <c r="U603" s="3"/>
      <c r="V603" s="3"/>
      <c r="W603" s="3"/>
      <c r="X603" s="3"/>
    </row>
    <row r="604" spans="21:24" ht="13">
      <c r="U604" s="3"/>
      <c r="V604" s="3"/>
      <c r="W604" s="3"/>
      <c r="X604" s="3"/>
    </row>
    <row r="605" spans="21:24" ht="13">
      <c r="U605" s="3"/>
      <c r="V605" s="3"/>
      <c r="W605" s="3"/>
      <c r="X605" s="3"/>
    </row>
    <row r="606" spans="21:24" ht="13">
      <c r="U606" s="3"/>
      <c r="V606" s="3"/>
      <c r="W606" s="3"/>
      <c r="X606" s="3"/>
    </row>
    <row r="607" spans="21:24" ht="13">
      <c r="U607" s="3"/>
      <c r="V607" s="3"/>
      <c r="W607" s="3"/>
      <c r="X607" s="3"/>
    </row>
    <row r="608" spans="21:24" ht="13">
      <c r="U608" s="3"/>
      <c r="V608" s="3"/>
      <c r="W608" s="3"/>
      <c r="X608" s="3"/>
    </row>
    <row r="609" spans="21:24" ht="13">
      <c r="U609" s="3"/>
      <c r="V609" s="3"/>
      <c r="W609" s="3"/>
      <c r="X609" s="3"/>
    </row>
    <row r="610" spans="21:24" ht="13">
      <c r="U610" s="3"/>
      <c r="V610" s="3"/>
      <c r="W610" s="3"/>
      <c r="X610" s="3"/>
    </row>
    <row r="611" spans="21:24" ht="13">
      <c r="U611" s="3"/>
      <c r="V611" s="3"/>
      <c r="W611" s="3"/>
      <c r="X611" s="3"/>
    </row>
    <row r="612" spans="21:24" ht="13">
      <c r="U612" s="3"/>
      <c r="V612" s="3"/>
      <c r="W612" s="3"/>
      <c r="X612" s="3"/>
    </row>
    <row r="613" spans="21:24" ht="13">
      <c r="U613" s="3"/>
      <c r="V613" s="3"/>
      <c r="W613" s="3"/>
      <c r="X613" s="3"/>
    </row>
    <row r="614" spans="21:24" ht="13">
      <c r="U614" s="3"/>
      <c r="V614" s="3"/>
      <c r="W614" s="3"/>
      <c r="X614" s="3"/>
    </row>
    <row r="615" spans="21:24" ht="13">
      <c r="U615" s="3"/>
      <c r="V615" s="3"/>
      <c r="W615" s="3"/>
      <c r="X615" s="3"/>
    </row>
    <row r="616" spans="21:24" ht="13">
      <c r="U616" s="3"/>
      <c r="V616" s="3"/>
      <c r="W616" s="3"/>
      <c r="X616" s="3"/>
    </row>
    <row r="617" spans="21:24" ht="13">
      <c r="U617" s="3"/>
      <c r="V617" s="3"/>
      <c r="W617" s="3"/>
      <c r="X617" s="3"/>
    </row>
    <row r="618" spans="21:24" ht="13">
      <c r="U618" s="3"/>
      <c r="V618" s="3"/>
      <c r="W618" s="3"/>
      <c r="X618" s="3"/>
    </row>
    <row r="619" spans="21:24" ht="13">
      <c r="U619" s="3"/>
      <c r="V619" s="3"/>
      <c r="W619" s="3"/>
      <c r="X619" s="3"/>
    </row>
    <row r="620" spans="21:24" ht="13">
      <c r="U620" s="3"/>
      <c r="V620" s="3"/>
      <c r="W620" s="3"/>
      <c r="X620" s="3"/>
    </row>
    <row r="621" spans="21:24" ht="13">
      <c r="U621" s="3"/>
      <c r="V621" s="3"/>
      <c r="W621" s="3"/>
      <c r="X621" s="3"/>
    </row>
    <row r="622" spans="21:24" ht="13">
      <c r="U622" s="3"/>
      <c r="V622" s="3"/>
      <c r="W622" s="3"/>
      <c r="X622" s="3"/>
    </row>
    <row r="623" spans="21:24" ht="13">
      <c r="U623" s="3"/>
      <c r="V623" s="3"/>
      <c r="W623" s="3"/>
      <c r="X623" s="3"/>
    </row>
    <row r="624" spans="21:24" ht="13">
      <c r="U624" s="3"/>
      <c r="V624" s="3"/>
      <c r="W624" s="3"/>
      <c r="X624" s="3"/>
    </row>
    <row r="625" spans="21:24" ht="13">
      <c r="U625" s="3"/>
      <c r="V625" s="3"/>
      <c r="W625" s="3"/>
      <c r="X625" s="3"/>
    </row>
    <row r="626" spans="21:24" ht="13">
      <c r="U626" s="3"/>
      <c r="V626" s="3"/>
      <c r="W626" s="3"/>
      <c r="X626" s="3"/>
    </row>
    <row r="627" spans="21:24" ht="13">
      <c r="U627" s="3"/>
      <c r="V627" s="3"/>
      <c r="W627" s="3"/>
      <c r="X627" s="3"/>
    </row>
    <row r="628" spans="21:24" ht="13">
      <c r="U628" s="3"/>
      <c r="V628" s="3"/>
      <c r="W628" s="3"/>
      <c r="X628" s="3"/>
    </row>
    <row r="629" spans="21:24" ht="13">
      <c r="U629" s="3"/>
      <c r="V629" s="3"/>
      <c r="W629" s="3"/>
      <c r="X629" s="3"/>
    </row>
    <row r="630" spans="21:24" ht="13">
      <c r="U630" s="3"/>
      <c r="V630" s="3"/>
      <c r="W630" s="3"/>
      <c r="X630" s="3"/>
    </row>
    <row r="631" spans="21:24" ht="13">
      <c r="U631" s="3"/>
      <c r="V631" s="3"/>
      <c r="W631" s="3"/>
      <c r="X631" s="3"/>
    </row>
    <row r="632" spans="21:24" ht="13">
      <c r="U632" s="3"/>
      <c r="V632" s="3"/>
      <c r="W632" s="3"/>
      <c r="X632" s="3"/>
    </row>
    <row r="633" spans="21:24" ht="13">
      <c r="U633" s="3"/>
      <c r="V633" s="3"/>
      <c r="W633" s="3"/>
      <c r="X633" s="3"/>
    </row>
    <row r="634" spans="21:24" ht="13">
      <c r="U634" s="3"/>
      <c r="V634" s="3"/>
      <c r="W634" s="3"/>
      <c r="X634" s="3"/>
    </row>
    <row r="635" spans="21:24" ht="13">
      <c r="U635" s="3"/>
      <c r="V635" s="3"/>
      <c r="W635" s="3"/>
      <c r="X635" s="3"/>
    </row>
    <row r="636" spans="21:24" ht="13">
      <c r="U636" s="3"/>
      <c r="V636" s="3"/>
      <c r="W636" s="3"/>
      <c r="X636" s="3"/>
    </row>
    <row r="637" spans="21:24" ht="13">
      <c r="U637" s="3"/>
      <c r="V637" s="3"/>
      <c r="W637" s="3"/>
      <c r="X637" s="3"/>
    </row>
    <row r="638" spans="21:24" ht="13">
      <c r="U638" s="3"/>
      <c r="V638" s="3"/>
      <c r="W638" s="3"/>
      <c r="X638" s="3"/>
    </row>
    <row r="639" spans="21:24" ht="13">
      <c r="U639" s="3"/>
      <c r="V639" s="3"/>
      <c r="W639" s="3"/>
      <c r="X639" s="3"/>
    </row>
    <row r="640" spans="21:24" ht="13">
      <c r="U640" s="3"/>
      <c r="V640" s="3"/>
      <c r="W640" s="3"/>
      <c r="X640" s="3"/>
    </row>
    <row r="641" spans="21:24" ht="13">
      <c r="U641" s="3"/>
      <c r="V641" s="3"/>
      <c r="W641" s="3"/>
      <c r="X641" s="3"/>
    </row>
    <row r="642" spans="21:24" ht="13">
      <c r="U642" s="3"/>
      <c r="V642" s="3"/>
      <c r="W642" s="3"/>
      <c r="X642" s="3"/>
    </row>
    <row r="643" spans="21:24" ht="13">
      <c r="U643" s="3"/>
      <c r="V643" s="3"/>
      <c r="W643" s="3"/>
      <c r="X643" s="3"/>
    </row>
    <row r="644" spans="21:24" ht="13">
      <c r="U644" s="3"/>
      <c r="V644" s="3"/>
      <c r="W644" s="3"/>
      <c r="X644" s="3"/>
    </row>
    <row r="645" spans="21:24" ht="13">
      <c r="U645" s="3"/>
      <c r="V645" s="3"/>
      <c r="W645" s="3"/>
      <c r="X645" s="3"/>
    </row>
    <row r="646" spans="21:24" ht="13">
      <c r="U646" s="3"/>
      <c r="V646" s="3"/>
      <c r="W646" s="3"/>
      <c r="X646" s="3"/>
    </row>
    <row r="647" spans="21:24" ht="13">
      <c r="U647" s="3"/>
      <c r="V647" s="3"/>
      <c r="W647" s="3"/>
      <c r="X647" s="3"/>
    </row>
    <row r="648" spans="21:24" ht="13">
      <c r="U648" s="3"/>
      <c r="V648" s="3"/>
      <c r="W648" s="3"/>
      <c r="X648" s="3"/>
    </row>
    <row r="649" spans="21:24" ht="13">
      <c r="U649" s="3"/>
      <c r="V649" s="3"/>
      <c r="W649" s="3"/>
      <c r="X649" s="3"/>
    </row>
    <row r="650" spans="21:24" ht="13">
      <c r="U650" s="3"/>
      <c r="V650" s="3"/>
      <c r="W650" s="3"/>
      <c r="X650" s="3"/>
    </row>
    <row r="651" spans="21:24" ht="13">
      <c r="U651" s="3"/>
      <c r="V651" s="3"/>
      <c r="W651" s="3"/>
      <c r="X651" s="3"/>
    </row>
    <row r="652" spans="21:24" ht="13">
      <c r="U652" s="3"/>
      <c r="V652" s="3"/>
      <c r="W652" s="3"/>
      <c r="X652" s="3"/>
    </row>
    <row r="653" spans="21:24" ht="13">
      <c r="U653" s="3"/>
      <c r="V653" s="3"/>
      <c r="W653" s="3"/>
      <c r="X653" s="3"/>
    </row>
    <row r="654" spans="21:24" ht="13">
      <c r="U654" s="3"/>
      <c r="V654" s="3"/>
      <c r="W654" s="3"/>
      <c r="X654" s="3"/>
    </row>
    <row r="655" spans="21:24" ht="13">
      <c r="U655" s="3"/>
      <c r="V655" s="3"/>
      <c r="W655" s="3"/>
      <c r="X655" s="3"/>
    </row>
    <row r="656" spans="21:24" ht="13">
      <c r="U656" s="3"/>
      <c r="V656" s="3"/>
      <c r="W656" s="3"/>
      <c r="X656" s="3"/>
    </row>
    <row r="657" spans="21:24" ht="13">
      <c r="U657" s="3"/>
      <c r="V657" s="3"/>
      <c r="W657" s="3"/>
      <c r="X657" s="3"/>
    </row>
    <row r="658" spans="21:24" ht="13">
      <c r="U658" s="3"/>
      <c r="V658" s="3"/>
      <c r="W658" s="3"/>
      <c r="X658" s="3"/>
    </row>
    <row r="659" spans="21:24" ht="13">
      <c r="U659" s="3"/>
      <c r="V659" s="3"/>
      <c r="W659" s="3"/>
      <c r="X659" s="3"/>
    </row>
    <row r="660" spans="21:24" ht="13">
      <c r="U660" s="3"/>
      <c r="V660" s="3"/>
      <c r="W660" s="3"/>
      <c r="X660" s="3"/>
    </row>
    <row r="661" spans="21:24" ht="13">
      <c r="U661" s="3"/>
      <c r="V661" s="3"/>
      <c r="W661" s="3"/>
      <c r="X661" s="3"/>
    </row>
    <row r="662" spans="21:24" ht="13">
      <c r="U662" s="3"/>
      <c r="V662" s="3"/>
      <c r="W662" s="3"/>
      <c r="X662" s="3"/>
    </row>
    <row r="663" spans="21:24" ht="13">
      <c r="U663" s="3"/>
      <c r="V663" s="3"/>
      <c r="W663" s="3"/>
      <c r="X663" s="3"/>
    </row>
    <row r="664" spans="21:24" ht="13">
      <c r="U664" s="3"/>
      <c r="V664" s="3"/>
      <c r="W664" s="3"/>
      <c r="X664" s="3"/>
    </row>
    <row r="665" spans="21:24" ht="13">
      <c r="U665" s="3"/>
      <c r="V665" s="3"/>
      <c r="W665" s="3"/>
      <c r="X665" s="3"/>
    </row>
    <row r="666" spans="21:24" ht="13">
      <c r="U666" s="3"/>
      <c r="V666" s="3"/>
      <c r="W666" s="3"/>
      <c r="X666" s="3"/>
    </row>
    <row r="667" spans="21:24" ht="13">
      <c r="U667" s="3"/>
      <c r="V667" s="3"/>
      <c r="W667" s="3"/>
      <c r="X667" s="3"/>
    </row>
    <row r="668" spans="21:24" ht="13">
      <c r="U668" s="3"/>
      <c r="V668" s="3"/>
      <c r="W668" s="3"/>
      <c r="X668" s="3"/>
    </row>
    <row r="669" spans="21:24" ht="13">
      <c r="U669" s="3"/>
      <c r="V669" s="3"/>
      <c r="W669" s="3"/>
      <c r="X669" s="3"/>
    </row>
    <row r="670" spans="21:24" ht="13">
      <c r="U670" s="3"/>
      <c r="V670" s="3"/>
      <c r="W670" s="3"/>
      <c r="X670" s="3"/>
    </row>
    <row r="671" spans="21:24" ht="13">
      <c r="U671" s="3"/>
      <c r="V671" s="3"/>
      <c r="W671" s="3"/>
      <c r="X671" s="3"/>
    </row>
    <row r="672" spans="21:24" ht="13">
      <c r="U672" s="3"/>
      <c r="V672" s="3"/>
      <c r="W672" s="3"/>
      <c r="X672" s="3"/>
    </row>
    <row r="673" spans="21:24" ht="13">
      <c r="U673" s="3"/>
      <c r="V673" s="3"/>
      <c r="W673" s="3"/>
      <c r="X673" s="3"/>
    </row>
    <row r="674" spans="21:24" ht="13">
      <c r="U674" s="3"/>
      <c r="V674" s="3"/>
      <c r="W674" s="3"/>
      <c r="X674" s="3"/>
    </row>
    <row r="675" spans="21:24" ht="13">
      <c r="U675" s="3"/>
      <c r="V675" s="3"/>
      <c r="W675" s="3"/>
      <c r="X675" s="3"/>
    </row>
    <row r="676" spans="21:24" ht="13">
      <c r="U676" s="3"/>
      <c r="V676" s="3"/>
      <c r="W676" s="3"/>
      <c r="X676" s="3"/>
    </row>
    <row r="677" spans="21:24" ht="13">
      <c r="U677" s="3"/>
      <c r="V677" s="3"/>
      <c r="W677" s="3"/>
      <c r="X677" s="3"/>
    </row>
    <row r="678" spans="21:24" ht="13">
      <c r="U678" s="3"/>
      <c r="V678" s="3"/>
      <c r="W678" s="3"/>
      <c r="X678" s="3"/>
    </row>
    <row r="679" spans="21:24" ht="13">
      <c r="U679" s="3"/>
      <c r="V679" s="3"/>
      <c r="W679" s="3"/>
      <c r="X679" s="3"/>
    </row>
    <row r="680" spans="21:24" ht="13">
      <c r="U680" s="3"/>
      <c r="V680" s="3"/>
      <c r="W680" s="3"/>
      <c r="X680" s="3"/>
    </row>
    <row r="681" spans="21:24" ht="13">
      <c r="U681" s="3"/>
      <c r="V681" s="3"/>
      <c r="W681" s="3"/>
      <c r="X681" s="3"/>
    </row>
    <row r="682" spans="21:24" ht="13">
      <c r="U682" s="3"/>
      <c r="V682" s="3"/>
      <c r="W682" s="3"/>
      <c r="X682" s="3"/>
    </row>
    <row r="683" spans="21:24" ht="13">
      <c r="U683" s="3"/>
      <c r="V683" s="3"/>
      <c r="W683" s="3"/>
      <c r="X683" s="3"/>
    </row>
    <row r="684" spans="21:24" ht="13">
      <c r="U684" s="3"/>
      <c r="V684" s="3"/>
      <c r="W684" s="3"/>
      <c r="X684" s="3"/>
    </row>
    <row r="685" spans="21:24" ht="13">
      <c r="U685" s="3"/>
      <c r="V685" s="3"/>
      <c r="W685" s="3"/>
      <c r="X685" s="3"/>
    </row>
    <row r="686" spans="21:24" ht="13">
      <c r="U686" s="3"/>
      <c r="V686" s="3"/>
      <c r="W686" s="3"/>
      <c r="X686" s="3"/>
    </row>
    <row r="687" spans="21:24" ht="13">
      <c r="U687" s="3"/>
      <c r="V687" s="3"/>
      <c r="W687" s="3"/>
      <c r="X687" s="3"/>
    </row>
    <row r="688" spans="21:24" ht="13">
      <c r="U688" s="3"/>
      <c r="V688" s="3"/>
      <c r="W688" s="3"/>
      <c r="X688" s="3"/>
    </row>
    <row r="689" spans="21:24" ht="13">
      <c r="U689" s="3"/>
      <c r="V689" s="3"/>
      <c r="W689" s="3"/>
      <c r="X689" s="3"/>
    </row>
    <row r="690" spans="21:24" ht="13">
      <c r="U690" s="3"/>
      <c r="V690" s="3"/>
      <c r="W690" s="3"/>
      <c r="X690" s="3"/>
    </row>
    <row r="691" spans="21:24" ht="13">
      <c r="U691" s="3"/>
      <c r="V691" s="3"/>
      <c r="W691" s="3"/>
      <c r="X691" s="3"/>
    </row>
    <row r="692" spans="21:24" ht="13">
      <c r="U692" s="3"/>
      <c r="V692" s="3"/>
      <c r="W692" s="3"/>
      <c r="X692" s="3"/>
    </row>
    <row r="693" spans="21:24" ht="13">
      <c r="U693" s="3"/>
      <c r="V693" s="3"/>
      <c r="W693" s="3"/>
      <c r="X693" s="3"/>
    </row>
    <row r="694" spans="21:24" ht="13">
      <c r="U694" s="3"/>
      <c r="V694" s="3"/>
      <c r="W694" s="3"/>
      <c r="X694" s="3"/>
    </row>
    <row r="695" spans="21:24" ht="13">
      <c r="U695" s="3"/>
      <c r="V695" s="3"/>
      <c r="W695" s="3"/>
      <c r="X695" s="3"/>
    </row>
    <row r="696" spans="21:24" ht="13">
      <c r="U696" s="3"/>
      <c r="V696" s="3"/>
      <c r="W696" s="3"/>
      <c r="X696" s="3"/>
    </row>
    <row r="697" spans="21:24" ht="13">
      <c r="U697" s="3"/>
      <c r="V697" s="3"/>
      <c r="W697" s="3"/>
      <c r="X697" s="3"/>
    </row>
    <row r="698" spans="21:24" ht="13">
      <c r="U698" s="3"/>
      <c r="V698" s="3"/>
      <c r="W698" s="3"/>
      <c r="X698" s="3"/>
    </row>
    <row r="699" spans="21:24" ht="13">
      <c r="U699" s="3"/>
      <c r="V699" s="3"/>
      <c r="W699" s="3"/>
      <c r="X699" s="3"/>
    </row>
    <row r="700" spans="21:24" ht="13">
      <c r="U700" s="3"/>
      <c r="V700" s="3"/>
      <c r="W700" s="3"/>
      <c r="X700" s="3"/>
    </row>
    <row r="701" spans="21:24" ht="13">
      <c r="U701" s="3"/>
      <c r="V701" s="3"/>
      <c r="W701" s="3"/>
      <c r="X701" s="3"/>
    </row>
    <row r="702" spans="21:24" ht="13">
      <c r="U702" s="3"/>
      <c r="V702" s="3"/>
      <c r="W702" s="3"/>
      <c r="X702" s="3"/>
    </row>
    <row r="703" spans="21:24" ht="13">
      <c r="U703" s="3"/>
      <c r="V703" s="3"/>
      <c r="W703" s="3"/>
      <c r="X703" s="3"/>
    </row>
    <row r="704" spans="21:24" ht="13">
      <c r="U704" s="3"/>
      <c r="V704" s="3"/>
      <c r="W704" s="3"/>
      <c r="X704" s="3"/>
    </row>
    <row r="705" spans="21:24" ht="13">
      <c r="U705" s="3"/>
      <c r="V705" s="3"/>
      <c r="W705" s="3"/>
      <c r="X705" s="3"/>
    </row>
    <row r="706" spans="21:24" ht="13">
      <c r="U706" s="3"/>
      <c r="V706" s="3"/>
      <c r="W706" s="3"/>
      <c r="X706" s="3"/>
    </row>
    <row r="707" spans="21:24" ht="13">
      <c r="U707" s="3"/>
      <c r="V707" s="3"/>
      <c r="W707" s="3"/>
      <c r="X707" s="3"/>
    </row>
    <row r="708" spans="21:24" ht="13">
      <c r="U708" s="3"/>
      <c r="V708" s="3"/>
      <c r="W708" s="3"/>
      <c r="X708" s="3"/>
    </row>
    <row r="709" spans="21:24" ht="13">
      <c r="U709" s="3"/>
      <c r="V709" s="3"/>
      <c r="W709" s="3"/>
      <c r="X709" s="3"/>
    </row>
    <row r="710" spans="21:24" ht="13">
      <c r="U710" s="3"/>
      <c r="V710" s="3"/>
      <c r="W710" s="3"/>
      <c r="X710" s="3"/>
    </row>
    <row r="711" spans="21:24" ht="13">
      <c r="U711" s="3"/>
      <c r="V711" s="3"/>
      <c r="W711" s="3"/>
      <c r="X711" s="3"/>
    </row>
    <row r="712" spans="21:24" ht="13">
      <c r="U712" s="3"/>
      <c r="V712" s="3"/>
      <c r="W712" s="3"/>
      <c r="X712" s="3"/>
    </row>
    <row r="713" spans="21:24" ht="13">
      <c r="U713" s="3"/>
      <c r="V713" s="3"/>
      <c r="W713" s="3"/>
      <c r="X713" s="3"/>
    </row>
    <row r="714" spans="21:24" ht="13">
      <c r="U714" s="3"/>
      <c r="V714" s="3"/>
      <c r="W714" s="3"/>
      <c r="X714" s="3"/>
    </row>
    <row r="715" spans="21:24" ht="13">
      <c r="U715" s="3"/>
      <c r="V715" s="3"/>
      <c r="W715" s="3"/>
      <c r="X715" s="3"/>
    </row>
    <row r="716" spans="21:24" ht="13">
      <c r="U716" s="3"/>
      <c r="V716" s="3"/>
      <c r="W716" s="3"/>
      <c r="X716" s="3"/>
    </row>
    <row r="717" spans="21:24" ht="13">
      <c r="U717" s="3"/>
      <c r="V717" s="3"/>
      <c r="W717" s="3"/>
      <c r="X717" s="3"/>
    </row>
    <row r="718" spans="21:24" ht="13">
      <c r="U718" s="3"/>
      <c r="V718" s="3"/>
      <c r="W718" s="3"/>
      <c r="X718" s="3"/>
    </row>
    <row r="719" spans="21:24" ht="13">
      <c r="U719" s="3"/>
      <c r="V719" s="3"/>
      <c r="W719" s="3"/>
      <c r="X719" s="3"/>
    </row>
    <row r="720" spans="21:24" ht="13">
      <c r="U720" s="3"/>
      <c r="V720" s="3"/>
      <c r="W720" s="3"/>
      <c r="X720" s="3"/>
    </row>
    <row r="721" spans="21:24" ht="13">
      <c r="U721" s="3"/>
      <c r="V721" s="3"/>
      <c r="W721" s="3"/>
      <c r="X721" s="3"/>
    </row>
    <row r="722" spans="21:24" ht="13">
      <c r="U722" s="3"/>
      <c r="V722" s="3"/>
      <c r="W722" s="3"/>
      <c r="X722" s="3"/>
    </row>
    <row r="723" spans="21:24" ht="13">
      <c r="U723" s="3"/>
      <c r="V723" s="3"/>
      <c r="W723" s="3"/>
      <c r="X723" s="3"/>
    </row>
    <row r="724" spans="21:24" ht="13">
      <c r="U724" s="3"/>
      <c r="V724" s="3"/>
      <c r="W724" s="3"/>
      <c r="X724" s="3"/>
    </row>
    <row r="725" spans="21:24" ht="13">
      <c r="U725" s="3"/>
      <c r="V725" s="3"/>
      <c r="W725" s="3"/>
      <c r="X725" s="3"/>
    </row>
    <row r="726" spans="21:24" ht="13">
      <c r="U726" s="3"/>
      <c r="V726" s="3"/>
      <c r="W726" s="3"/>
      <c r="X726" s="3"/>
    </row>
    <row r="727" spans="21:24" ht="13">
      <c r="U727" s="3"/>
      <c r="V727" s="3"/>
      <c r="W727" s="3"/>
      <c r="X727" s="3"/>
    </row>
    <row r="728" spans="21:24" ht="13">
      <c r="U728" s="3"/>
      <c r="V728" s="3"/>
      <c r="W728" s="3"/>
      <c r="X728" s="3"/>
    </row>
    <row r="729" spans="21:24" ht="13">
      <c r="U729" s="3"/>
      <c r="V729" s="3"/>
      <c r="W729" s="3"/>
      <c r="X729" s="3"/>
    </row>
    <row r="730" spans="21:24" ht="13">
      <c r="U730" s="3"/>
      <c r="V730" s="3"/>
      <c r="W730" s="3"/>
      <c r="X730" s="3"/>
    </row>
    <row r="731" spans="21:24" ht="13">
      <c r="U731" s="3"/>
      <c r="V731" s="3"/>
      <c r="W731" s="3"/>
      <c r="X731" s="3"/>
    </row>
    <row r="732" spans="21:24" ht="13">
      <c r="U732" s="3"/>
      <c r="V732" s="3"/>
      <c r="W732" s="3"/>
      <c r="X732" s="3"/>
    </row>
    <row r="733" spans="21:24" ht="13">
      <c r="U733" s="3"/>
      <c r="V733" s="3"/>
      <c r="W733" s="3"/>
      <c r="X733" s="3"/>
    </row>
    <row r="734" spans="21:24" ht="13">
      <c r="U734" s="3"/>
      <c r="V734" s="3"/>
      <c r="W734" s="3"/>
      <c r="X734" s="3"/>
    </row>
    <row r="735" spans="21:24" ht="13">
      <c r="U735" s="3"/>
      <c r="V735" s="3"/>
      <c r="W735" s="3"/>
      <c r="X735" s="3"/>
    </row>
    <row r="736" spans="21:24" ht="13">
      <c r="U736" s="3"/>
      <c r="V736" s="3"/>
      <c r="W736" s="3"/>
      <c r="X736" s="3"/>
    </row>
    <row r="737" spans="21:24" ht="13">
      <c r="U737" s="3"/>
      <c r="V737" s="3"/>
      <c r="W737" s="3"/>
      <c r="X737" s="3"/>
    </row>
    <row r="738" spans="21:24" ht="13">
      <c r="U738" s="3"/>
      <c r="V738" s="3"/>
      <c r="W738" s="3"/>
      <c r="X738" s="3"/>
    </row>
    <row r="739" spans="21:24" ht="13">
      <c r="U739" s="3"/>
      <c r="V739" s="3"/>
      <c r="W739" s="3"/>
      <c r="X739" s="3"/>
    </row>
    <row r="740" spans="21:24" ht="13">
      <c r="U740" s="3"/>
      <c r="V740" s="3"/>
      <c r="W740" s="3"/>
      <c r="X740" s="3"/>
    </row>
    <row r="741" spans="21:24" ht="13">
      <c r="U741" s="3"/>
      <c r="V741" s="3"/>
      <c r="W741" s="3"/>
      <c r="X741" s="3"/>
    </row>
    <row r="742" spans="21:24" ht="13">
      <c r="U742" s="3"/>
      <c r="V742" s="3"/>
      <c r="W742" s="3"/>
      <c r="X742" s="3"/>
    </row>
    <row r="743" spans="21:24" ht="13">
      <c r="U743" s="3"/>
      <c r="V743" s="3"/>
      <c r="W743" s="3"/>
      <c r="X743" s="3"/>
    </row>
    <row r="744" spans="21:24" ht="13">
      <c r="U744" s="3"/>
      <c r="V744" s="3"/>
      <c r="W744" s="3"/>
      <c r="X744" s="3"/>
    </row>
    <row r="745" spans="21:24" ht="13">
      <c r="U745" s="3"/>
      <c r="V745" s="3"/>
      <c r="W745" s="3"/>
      <c r="X745" s="3"/>
    </row>
    <row r="746" spans="21:24" ht="13">
      <c r="U746" s="3"/>
      <c r="V746" s="3"/>
      <c r="W746" s="3"/>
      <c r="X746" s="3"/>
    </row>
    <row r="747" spans="21:24" ht="13">
      <c r="U747" s="3"/>
      <c r="V747" s="3"/>
      <c r="W747" s="3"/>
      <c r="X747" s="3"/>
    </row>
    <row r="748" spans="21:24" ht="13">
      <c r="U748" s="3"/>
      <c r="V748" s="3"/>
      <c r="W748" s="3"/>
      <c r="X748" s="3"/>
    </row>
    <row r="749" spans="21:24" ht="13">
      <c r="U749" s="3"/>
      <c r="V749" s="3"/>
      <c r="W749" s="3"/>
      <c r="X749" s="3"/>
    </row>
    <row r="750" spans="21:24" ht="13">
      <c r="U750" s="3"/>
      <c r="V750" s="3"/>
      <c r="W750" s="3"/>
      <c r="X750" s="3"/>
    </row>
    <row r="751" spans="21:24" ht="13">
      <c r="U751" s="3"/>
      <c r="V751" s="3"/>
      <c r="W751" s="3"/>
      <c r="X751" s="3"/>
    </row>
    <row r="752" spans="21:24" ht="13">
      <c r="U752" s="3"/>
      <c r="V752" s="3"/>
      <c r="W752" s="3"/>
      <c r="X752" s="3"/>
    </row>
    <row r="753" spans="21:24" ht="13">
      <c r="U753" s="3"/>
      <c r="V753" s="3"/>
      <c r="W753" s="3"/>
      <c r="X753" s="3"/>
    </row>
    <row r="754" spans="21:24" ht="13">
      <c r="U754" s="3"/>
      <c r="V754" s="3"/>
      <c r="W754" s="3"/>
      <c r="X754" s="3"/>
    </row>
    <row r="755" spans="21:24" ht="13">
      <c r="U755" s="3"/>
      <c r="V755" s="3"/>
      <c r="W755" s="3"/>
      <c r="X755" s="3"/>
    </row>
    <row r="756" spans="21:24" ht="13">
      <c r="U756" s="3"/>
      <c r="V756" s="3"/>
      <c r="W756" s="3"/>
      <c r="X756" s="3"/>
    </row>
    <row r="757" spans="21:24" ht="13">
      <c r="U757" s="3"/>
      <c r="V757" s="3"/>
      <c r="W757" s="3"/>
      <c r="X757" s="3"/>
    </row>
    <row r="758" spans="21:24" ht="13">
      <c r="U758" s="3"/>
      <c r="V758" s="3"/>
      <c r="W758" s="3"/>
      <c r="X758" s="3"/>
    </row>
    <row r="759" spans="21:24" ht="13">
      <c r="U759" s="3"/>
      <c r="V759" s="3"/>
      <c r="W759" s="3"/>
      <c r="X759" s="3"/>
    </row>
    <row r="760" spans="21:24" ht="13">
      <c r="U760" s="3"/>
      <c r="V760" s="3"/>
      <c r="W760" s="3"/>
      <c r="X760" s="3"/>
    </row>
    <row r="761" spans="21:24" ht="13">
      <c r="U761" s="3"/>
      <c r="V761" s="3"/>
      <c r="W761" s="3"/>
      <c r="X761" s="3"/>
    </row>
    <row r="762" spans="21:24" ht="13">
      <c r="U762" s="3"/>
      <c r="V762" s="3"/>
      <c r="W762" s="3"/>
      <c r="X762" s="3"/>
    </row>
    <row r="763" spans="21:24" ht="13">
      <c r="U763" s="3"/>
      <c r="V763" s="3"/>
      <c r="W763" s="3"/>
      <c r="X763" s="3"/>
    </row>
    <row r="764" spans="21:24" ht="13">
      <c r="U764" s="3"/>
      <c r="V764" s="3"/>
      <c r="W764" s="3"/>
      <c r="X764" s="3"/>
    </row>
    <row r="765" spans="21:24" ht="13">
      <c r="U765" s="3"/>
      <c r="V765" s="3"/>
      <c r="W765" s="3"/>
      <c r="X765" s="3"/>
    </row>
    <row r="766" spans="21:24" ht="13">
      <c r="U766" s="3"/>
      <c r="V766" s="3"/>
      <c r="W766" s="3"/>
      <c r="X766" s="3"/>
    </row>
    <row r="767" spans="21:24" ht="13">
      <c r="U767" s="3"/>
      <c r="V767" s="3"/>
      <c r="W767" s="3"/>
      <c r="X767" s="3"/>
    </row>
    <row r="768" spans="21:24" ht="13">
      <c r="U768" s="3"/>
      <c r="V768" s="3"/>
      <c r="W768" s="3"/>
      <c r="X768" s="3"/>
    </row>
    <row r="769" spans="21:24" ht="13">
      <c r="U769" s="3"/>
      <c r="V769" s="3"/>
      <c r="W769" s="3"/>
      <c r="X769" s="3"/>
    </row>
    <row r="770" spans="21:24" ht="13">
      <c r="U770" s="3"/>
      <c r="V770" s="3"/>
      <c r="W770" s="3"/>
      <c r="X770" s="3"/>
    </row>
    <row r="771" spans="21:24" ht="13">
      <c r="U771" s="3"/>
      <c r="V771" s="3"/>
      <c r="W771" s="3"/>
      <c r="X771" s="3"/>
    </row>
    <row r="772" spans="21:24" ht="13">
      <c r="U772" s="3"/>
      <c r="V772" s="3"/>
      <c r="W772" s="3"/>
      <c r="X772" s="3"/>
    </row>
    <row r="773" spans="21:24" ht="13">
      <c r="U773" s="3"/>
      <c r="V773" s="3"/>
      <c r="W773" s="3"/>
      <c r="X773" s="3"/>
    </row>
    <row r="774" spans="21:24" ht="13">
      <c r="U774" s="3"/>
      <c r="V774" s="3"/>
      <c r="W774" s="3"/>
      <c r="X774" s="3"/>
    </row>
    <row r="775" spans="21:24" ht="13">
      <c r="U775" s="3"/>
      <c r="V775" s="3"/>
      <c r="W775" s="3"/>
      <c r="X775" s="3"/>
    </row>
    <row r="776" spans="21:24" ht="13">
      <c r="U776" s="3"/>
      <c r="V776" s="3"/>
      <c r="W776" s="3"/>
      <c r="X776" s="3"/>
    </row>
    <row r="777" spans="21:24" ht="13">
      <c r="U777" s="3"/>
      <c r="V777" s="3"/>
      <c r="W777" s="3"/>
      <c r="X777" s="3"/>
    </row>
    <row r="778" spans="21:24" ht="13">
      <c r="U778" s="3"/>
      <c r="V778" s="3"/>
      <c r="W778" s="3"/>
      <c r="X778" s="3"/>
    </row>
    <row r="779" spans="21:24" ht="13">
      <c r="U779" s="3"/>
      <c r="V779" s="3"/>
      <c r="W779" s="3"/>
      <c r="X779" s="3"/>
    </row>
    <row r="780" spans="21:24" ht="13">
      <c r="U780" s="3"/>
      <c r="V780" s="3"/>
      <c r="W780" s="3"/>
      <c r="X780" s="3"/>
    </row>
    <row r="781" spans="21:24" ht="13">
      <c r="U781" s="3"/>
      <c r="V781" s="3"/>
      <c r="W781" s="3"/>
      <c r="X781" s="3"/>
    </row>
    <row r="782" spans="21:24" ht="13">
      <c r="U782" s="3"/>
      <c r="V782" s="3"/>
      <c r="W782" s="3"/>
      <c r="X782" s="3"/>
    </row>
    <row r="783" spans="21:24" ht="13">
      <c r="U783" s="3"/>
      <c r="V783" s="3"/>
      <c r="W783" s="3"/>
      <c r="X783" s="3"/>
    </row>
    <row r="784" spans="21:24" ht="13">
      <c r="U784" s="3"/>
      <c r="V784" s="3"/>
      <c r="W784" s="3"/>
      <c r="X784" s="3"/>
    </row>
    <row r="785" spans="21:24" ht="13">
      <c r="U785" s="3"/>
      <c r="V785" s="3"/>
      <c r="W785" s="3"/>
      <c r="X785" s="3"/>
    </row>
    <row r="786" spans="21:24" ht="13">
      <c r="U786" s="3"/>
      <c r="V786" s="3"/>
      <c r="W786" s="3"/>
      <c r="X786" s="3"/>
    </row>
    <row r="787" spans="21:24" ht="13">
      <c r="U787" s="3"/>
      <c r="V787" s="3"/>
      <c r="W787" s="3"/>
      <c r="X787" s="3"/>
    </row>
    <row r="788" spans="21:24" ht="13">
      <c r="U788" s="3"/>
      <c r="V788" s="3"/>
      <c r="W788" s="3"/>
      <c r="X788" s="3"/>
    </row>
    <row r="789" spans="21:24" ht="13">
      <c r="U789" s="3"/>
      <c r="V789" s="3"/>
      <c r="W789" s="3"/>
      <c r="X789" s="3"/>
    </row>
    <row r="790" spans="21:24" ht="13">
      <c r="U790" s="3"/>
      <c r="V790" s="3"/>
      <c r="W790" s="3"/>
      <c r="X790" s="3"/>
    </row>
    <row r="791" spans="21:24" ht="13">
      <c r="U791" s="3"/>
      <c r="V791" s="3"/>
      <c r="W791" s="3"/>
      <c r="X791" s="3"/>
    </row>
    <row r="792" spans="21:24" ht="13">
      <c r="U792" s="3"/>
      <c r="V792" s="3"/>
      <c r="W792" s="3"/>
      <c r="X792" s="3"/>
    </row>
    <row r="793" spans="21:24" ht="13">
      <c r="U793" s="3"/>
      <c r="V793" s="3"/>
      <c r="W793" s="3"/>
      <c r="X793" s="3"/>
    </row>
    <row r="794" spans="21:24" ht="13">
      <c r="U794" s="3"/>
      <c r="V794" s="3"/>
      <c r="W794" s="3"/>
      <c r="X794" s="3"/>
    </row>
    <row r="795" spans="21:24" ht="13">
      <c r="U795" s="3"/>
      <c r="V795" s="3"/>
      <c r="W795" s="3"/>
      <c r="X795" s="3"/>
    </row>
    <row r="796" spans="21:24" ht="13">
      <c r="U796" s="3"/>
      <c r="V796" s="3"/>
      <c r="W796" s="3"/>
      <c r="X796" s="3"/>
    </row>
    <row r="797" spans="21:24" ht="13">
      <c r="U797" s="3"/>
      <c r="V797" s="3"/>
      <c r="W797" s="3"/>
      <c r="X797" s="3"/>
    </row>
    <row r="798" spans="21:24" ht="13">
      <c r="U798" s="3"/>
      <c r="V798" s="3"/>
      <c r="W798" s="3"/>
      <c r="X798" s="3"/>
    </row>
    <row r="799" spans="21:24" ht="13">
      <c r="U799" s="3"/>
      <c r="V799" s="3"/>
      <c r="W799" s="3"/>
      <c r="X799" s="3"/>
    </row>
    <row r="800" spans="21:24" ht="13">
      <c r="U800" s="3"/>
      <c r="V800" s="3"/>
      <c r="W800" s="3"/>
      <c r="X800" s="3"/>
    </row>
    <row r="801" spans="21:24" ht="13">
      <c r="U801" s="3"/>
      <c r="V801" s="3"/>
      <c r="W801" s="3"/>
      <c r="X801" s="3"/>
    </row>
    <row r="802" spans="21:24" ht="13">
      <c r="U802" s="3"/>
      <c r="V802" s="3"/>
      <c r="W802" s="3"/>
      <c r="X802" s="3"/>
    </row>
    <row r="803" spans="21:24" ht="13">
      <c r="U803" s="3"/>
      <c r="V803" s="3"/>
      <c r="W803" s="3"/>
      <c r="X803" s="3"/>
    </row>
    <row r="804" spans="21:24" ht="13">
      <c r="U804" s="3"/>
      <c r="V804" s="3"/>
      <c r="W804" s="3"/>
      <c r="X804" s="3"/>
    </row>
    <row r="805" spans="21:24" ht="13">
      <c r="U805" s="3"/>
      <c r="V805" s="3"/>
      <c r="W805" s="3"/>
      <c r="X805" s="3"/>
    </row>
    <row r="806" spans="21:24" ht="13">
      <c r="U806" s="3"/>
      <c r="V806" s="3"/>
      <c r="W806" s="3"/>
      <c r="X806" s="3"/>
    </row>
    <row r="807" spans="21:24" ht="13">
      <c r="U807" s="3"/>
      <c r="V807" s="3"/>
      <c r="W807" s="3"/>
      <c r="X807" s="3"/>
    </row>
    <row r="808" spans="21:24" ht="13">
      <c r="U808" s="3"/>
      <c r="V808" s="3"/>
      <c r="W808" s="3"/>
      <c r="X808" s="3"/>
    </row>
    <row r="809" spans="21:24" ht="13">
      <c r="U809" s="3"/>
      <c r="V809" s="3"/>
      <c r="W809" s="3"/>
      <c r="X809" s="3"/>
    </row>
    <row r="810" spans="21:24" ht="13">
      <c r="U810" s="3"/>
      <c r="V810" s="3"/>
      <c r="W810" s="3"/>
      <c r="X810" s="3"/>
    </row>
    <row r="811" spans="21:24" ht="13">
      <c r="U811" s="3"/>
      <c r="V811" s="3"/>
      <c r="W811" s="3"/>
      <c r="X811" s="3"/>
    </row>
    <row r="812" spans="21:24" ht="13">
      <c r="U812" s="3"/>
      <c r="V812" s="3"/>
      <c r="W812" s="3"/>
      <c r="X812" s="3"/>
    </row>
    <row r="813" spans="21:24" ht="13">
      <c r="U813" s="3"/>
      <c r="V813" s="3"/>
      <c r="W813" s="3"/>
      <c r="X813" s="3"/>
    </row>
    <row r="814" spans="21:24" ht="13">
      <c r="U814" s="3"/>
      <c r="V814" s="3"/>
      <c r="W814" s="3"/>
      <c r="X814" s="3"/>
    </row>
    <row r="815" spans="21:24" ht="13">
      <c r="U815" s="3"/>
      <c r="V815" s="3"/>
      <c r="W815" s="3"/>
      <c r="X815" s="3"/>
    </row>
    <row r="816" spans="21:24" ht="13">
      <c r="U816" s="3"/>
      <c r="V816" s="3"/>
      <c r="W816" s="3"/>
      <c r="X816" s="3"/>
    </row>
    <row r="817" spans="21:24" ht="13">
      <c r="U817" s="3"/>
      <c r="V817" s="3"/>
      <c r="W817" s="3"/>
      <c r="X817" s="3"/>
    </row>
    <row r="818" spans="21:24" ht="13">
      <c r="U818" s="3"/>
      <c r="V818" s="3"/>
      <c r="W818" s="3"/>
      <c r="X818" s="3"/>
    </row>
    <row r="819" spans="21:24" ht="13">
      <c r="U819" s="3"/>
      <c r="V819" s="3"/>
      <c r="W819" s="3"/>
      <c r="X819" s="3"/>
    </row>
    <row r="820" spans="21:24" ht="13">
      <c r="U820" s="3"/>
      <c r="V820" s="3"/>
      <c r="W820" s="3"/>
      <c r="X820" s="3"/>
    </row>
    <row r="821" spans="21:24" ht="13">
      <c r="U821" s="3"/>
      <c r="V821" s="3"/>
      <c r="W821" s="3"/>
      <c r="X821" s="3"/>
    </row>
    <row r="822" spans="21:24" ht="13">
      <c r="U822" s="3"/>
      <c r="V822" s="3"/>
      <c r="W822" s="3"/>
      <c r="X822" s="3"/>
    </row>
    <row r="823" spans="21:24" ht="13">
      <c r="U823" s="3"/>
      <c r="V823" s="3"/>
      <c r="W823" s="3"/>
      <c r="X823" s="3"/>
    </row>
    <row r="824" spans="21:24" ht="13">
      <c r="U824" s="3"/>
      <c r="V824" s="3"/>
      <c r="W824" s="3"/>
      <c r="X824" s="3"/>
    </row>
    <row r="825" spans="21:24" ht="13">
      <c r="U825" s="3"/>
      <c r="V825" s="3"/>
      <c r="W825" s="3"/>
      <c r="X825" s="3"/>
    </row>
    <row r="826" spans="21:24" ht="13">
      <c r="U826" s="3"/>
      <c r="V826" s="3"/>
      <c r="W826" s="3"/>
      <c r="X826" s="3"/>
    </row>
    <row r="827" spans="21:24" ht="13">
      <c r="U827" s="3"/>
      <c r="V827" s="3"/>
      <c r="W827" s="3"/>
      <c r="X827" s="3"/>
    </row>
    <row r="828" spans="21:24" ht="13">
      <c r="U828" s="3"/>
      <c r="V828" s="3"/>
      <c r="W828" s="3"/>
      <c r="X828" s="3"/>
    </row>
    <row r="829" spans="21:24" ht="13">
      <c r="U829" s="3"/>
      <c r="V829" s="3"/>
      <c r="W829" s="3"/>
      <c r="X829" s="3"/>
    </row>
    <row r="830" spans="21:24" ht="13">
      <c r="U830" s="3"/>
      <c r="V830" s="3"/>
      <c r="W830" s="3"/>
      <c r="X830" s="3"/>
    </row>
    <row r="831" spans="21:24" ht="13">
      <c r="U831" s="3"/>
      <c r="V831" s="3"/>
      <c r="W831" s="3"/>
      <c r="X831" s="3"/>
    </row>
    <row r="832" spans="21:24" ht="13">
      <c r="U832" s="3"/>
      <c r="V832" s="3"/>
      <c r="W832" s="3"/>
      <c r="X832" s="3"/>
    </row>
    <row r="833" spans="21:24" ht="13">
      <c r="U833" s="3"/>
      <c r="V833" s="3"/>
      <c r="W833" s="3"/>
      <c r="X833" s="3"/>
    </row>
    <row r="834" spans="21:24" ht="13">
      <c r="U834" s="3"/>
      <c r="V834" s="3"/>
      <c r="W834" s="3"/>
      <c r="X834" s="3"/>
    </row>
    <row r="835" spans="21:24" ht="13">
      <c r="U835" s="3"/>
      <c r="V835" s="3"/>
      <c r="W835" s="3"/>
      <c r="X835" s="3"/>
    </row>
    <row r="836" spans="21:24" ht="13">
      <c r="U836" s="3"/>
      <c r="V836" s="3"/>
      <c r="W836" s="3"/>
      <c r="X836" s="3"/>
    </row>
    <row r="837" spans="21:24" ht="13">
      <c r="U837" s="3"/>
      <c r="V837" s="3"/>
      <c r="W837" s="3"/>
      <c r="X837" s="3"/>
    </row>
    <row r="838" spans="21:24" ht="13">
      <c r="U838" s="3"/>
      <c r="V838" s="3"/>
      <c r="W838" s="3"/>
      <c r="X838" s="3"/>
    </row>
    <row r="839" spans="21:24" ht="13">
      <c r="U839" s="3"/>
      <c r="V839" s="3"/>
      <c r="W839" s="3"/>
      <c r="X839" s="3"/>
    </row>
    <row r="840" spans="21:24" ht="13">
      <c r="U840" s="3"/>
      <c r="V840" s="3"/>
      <c r="W840" s="3"/>
      <c r="X840" s="3"/>
    </row>
    <row r="841" spans="21:24" ht="13">
      <c r="U841" s="3"/>
      <c r="V841" s="3"/>
      <c r="W841" s="3"/>
      <c r="X841" s="3"/>
    </row>
    <row r="842" spans="21:24" ht="13">
      <c r="U842" s="3"/>
      <c r="V842" s="3"/>
      <c r="W842" s="3"/>
      <c r="X842" s="3"/>
    </row>
    <row r="843" spans="21:24" ht="13">
      <c r="U843" s="3"/>
      <c r="V843" s="3"/>
      <c r="W843" s="3"/>
      <c r="X843" s="3"/>
    </row>
    <row r="844" spans="21:24" ht="13">
      <c r="U844" s="3"/>
      <c r="V844" s="3"/>
      <c r="W844" s="3"/>
      <c r="X844" s="3"/>
    </row>
    <row r="845" spans="21:24" ht="13">
      <c r="U845" s="3"/>
      <c r="V845" s="3"/>
      <c r="W845" s="3"/>
      <c r="X845" s="3"/>
    </row>
    <row r="846" spans="21:24" ht="13">
      <c r="U846" s="3"/>
      <c r="V846" s="3"/>
      <c r="W846" s="3"/>
      <c r="X846" s="3"/>
    </row>
    <row r="847" spans="21:24" ht="13">
      <c r="U847" s="3"/>
      <c r="V847" s="3"/>
      <c r="W847" s="3"/>
      <c r="X847" s="3"/>
    </row>
    <row r="848" spans="21:24" ht="13">
      <c r="U848" s="3"/>
      <c r="V848" s="3"/>
      <c r="W848" s="3"/>
      <c r="X848" s="3"/>
    </row>
    <row r="849" spans="21:24" ht="13">
      <c r="U849" s="3"/>
      <c r="V849" s="3"/>
      <c r="W849" s="3"/>
      <c r="X849" s="3"/>
    </row>
    <row r="850" spans="21:24" ht="13">
      <c r="U850" s="3"/>
      <c r="V850" s="3"/>
      <c r="W850" s="3"/>
      <c r="X850" s="3"/>
    </row>
    <row r="851" spans="21:24" ht="13">
      <c r="U851" s="3"/>
      <c r="V851" s="3"/>
      <c r="W851" s="3"/>
      <c r="X851" s="3"/>
    </row>
    <row r="852" spans="21:24" ht="13">
      <c r="U852" s="3"/>
      <c r="V852" s="3"/>
      <c r="W852" s="3"/>
      <c r="X852" s="3"/>
    </row>
    <row r="853" spans="21:24" ht="13">
      <c r="U853" s="3"/>
      <c r="V853" s="3"/>
      <c r="W853" s="3"/>
      <c r="X853" s="3"/>
    </row>
    <row r="854" spans="21:24" ht="13">
      <c r="U854" s="3"/>
      <c r="V854" s="3"/>
      <c r="W854" s="3"/>
      <c r="X854" s="3"/>
    </row>
    <row r="855" spans="21:24" ht="13">
      <c r="U855" s="3"/>
      <c r="V855" s="3"/>
      <c r="W855" s="3"/>
      <c r="X855" s="3"/>
    </row>
    <row r="856" spans="21:24" ht="13">
      <c r="U856" s="3"/>
      <c r="V856" s="3"/>
      <c r="W856" s="3"/>
      <c r="X856" s="3"/>
    </row>
    <row r="857" spans="21:24" ht="13">
      <c r="U857" s="3"/>
      <c r="V857" s="3"/>
      <c r="W857" s="3"/>
      <c r="X857" s="3"/>
    </row>
    <row r="858" spans="21:24" ht="13">
      <c r="U858" s="3"/>
      <c r="V858" s="3"/>
      <c r="W858" s="3"/>
      <c r="X858" s="3"/>
    </row>
    <row r="859" spans="21:24" ht="13">
      <c r="U859" s="3"/>
      <c r="V859" s="3"/>
      <c r="W859" s="3"/>
      <c r="X859" s="3"/>
    </row>
    <row r="860" spans="21:24" ht="13">
      <c r="U860" s="3"/>
      <c r="V860" s="3"/>
      <c r="W860" s="3"/>
      <c r="X860" s="3"/>
    </row>
    <row r="861" spans="21:24" ht="13">
      <c r="U861" s="3"/>
      <c r="V861" s="3"/>
      <c r="W861" s="3"/>
      <c r="X861" s="3"/>
    </row>
    <row r="862" spans="21:24" ht="13">
      <c r="U862" s="3"/>
      <c r="V862" s="3"/>
      <c r="W862" s="3"/>
      <c r="X862" s="3"/>
    </row>
    <row r="863" spans="21:24" ht="13">
      <c r="U863" s="3"/>
      <c r="V863" s="3"/>
      <c r="W863" s="3"/>
      <c r="X863" s="3"/>
    </row>
    <row r="864" spans="21:24" ht="13">
      <c r="U864" s="3"/>
      <c r="V864" s="3"/>
      <c r="W864" s="3"/>
      <c r="X864" s="3"/>
    </row>
    <row r="865" spans="21:24" ht="13">
      <c r="U865" s="3"/>
      <c r="V865" s="3"/>
      <c r="W865" s="3"/>
      <c r="X865" s="3"/>
    </row>
    <row r="866" spans="21:24" ht="13">
      <c r="U866" s="3"/>
      <c r="V866" s="3"/>
      <c r="W866" s="3"/>
      <c r="X866" s="3"/>
    </row>
    <row r="867" spans="21:24" ht="13">
      <c r="U867" s="3"/>
      <c r="V867" s="3"/>
      <c r="W867" s="3"/>
      <c r="X867" s="3"/>
    </row>
    <row r="868" spans="21:24" ht="13">
      <c r="U868" s="3"/>
      <c r="V868" s="3"/>
      <c r="W868" s="3"/>
      <c r="X868" s="3"/>
    </row>
    <row r="869" spans="21:24" ht="13">
      <c r="U869" s="3"/>
      <c r="V869" s="3"/>
      <c r="W869" s="3"/>
      <c r="X869" s="3"/>
    </row>
    <row r="870" spans="21:24" ht="13">
      <c r="U870" s="3"/>
      <c r="V870" s="3"/>
      <c r="W870" s="3"/>
      <c r="X870" s="3"/>
    </row>
    <row r="871" spans="21:24" ht="13">
      <c r="U871" s="3"/>
      <c r="V871" s="3"/>
      <c r="W871" s="3"/>
      <c r="X871" s="3"/>
    </row>
    <row r="872" spans="21:24" ht="13">
      <c r="U872" s="3"/>
      <c r="V872" s="3"/>
      <c r="W872" s="3"/>
      <c r="X872" s="3"/>
    </row>
    <row r="873" spans="21:24" ht="13">
      <c r="U873" s="3"/>
      <c r="V873" s="3"/>
      <c r="W873" s="3"/>
      <c r="X873" s="3"/>
    </row>
    <row r="874" spans="21:24" ht="13">
      <c r="U874" s="3"/>
      <c r="V874" s="3"/>
      <c r="W874" s="3"/>
      <c r="X874" s="3"/>
    </row>
    <row r="875" spans="21:24" ht="13">
      <c r="U875" s="3"/>
      <c r="V875" s="3"/>
      <c r="W875" s="3"/>
      <c r="X875" s="3"/>
    </row>
    <row r="876" spans="21:24" ht="13">
      <c r="U876" s="3"/>
      <c r="V876" s="3"/>
      <c r="W876" s="3"/>
      <c r="X876" s="3"/>
    </row>
    <row r="877" spans="21:24" ht="13">
      <c r="U877" s="3"/>
      <c r="V877" s="3"/>
      <c r="W877" s="3"/>
      <c r="X877" s="3"/>
    </row>
    <row r="878" spans="21:24" ht="13">
      <c r="U878" s="3"/>
      <c r="V878" s="3"/>
      <c r="W878" s="3"/>
      <c r="X878" s="3"/>
    </row>
    <row r="879" spans="21:24" ht="13">
      <c r="U879" s="3"/>
      <c r="V879" s="3"/>
      <c r="W879" s="3"/>
      <c r="X879" s="3"/>
    </row>
    <row r="880" spans="21:24" ht="13">
      <c r="U880" s="3"/>
      <c r="V880" s="3"/>
      <c r="W880" s="3"/>
      <c r="X880" s="3"/>
    </row>
    <row r="881" spans="21:24" ht="13">
      <c r="U881" s="3"/>
      <c r="V881" s="3"/>
      <c r="W881" s="3"/>
      <c r="X881" s="3"/>
    </row>
    <row r="882" spans="21:24" ht="13">
      <c r="U882" s="3"/>
      <c r="V882" s="3"/>
      <c r="W882" s="3"/>
      <c r="X882" s="3"/>
    </row>
    <row r="883" spans="21:24" ht="13">
      <c r="U883" s="3"/>
      <c r="V883" s="3"/>
      <c r="W883" s="3"/>
      <c r="X883" s="3"/>
    </row>
    <row r="884" spans="21:24" ht="13">
      <c r="U884" s="3"/>
      <c r="V884" s="3"/>
      <c r="W884" s="3"/>
      <c r="X884" s="3"/>
    </row>
    <row r="885" spans="21:24" ht="13">
      <c r="U885" s="3"/>
      <c r="V885" s="3"/>
      <c r="W885" s="3"/>
      <c r="X885" s="3"/>
    </row>
    <row r="886" spans="21:24" ht="13">
      <c r="U886" s="3"/>
      <c r="V886" s="3"/>
      <c r="W886" s="3"/>
      <c r="X886" s="3"/>
    </row>
    <row r="887" spans="21:24" ht="13">
      <c r="U887" s="3"/>
      <c r="V887" s="3"/>
      <c r="W887" s="3"/>
      <c r="X887" s="3"/>
    </row>
    <row r="888" spans="21:24" ht="13">
      <c r="U888" s="3"/>
      <c r="V888" s="3"/>
      <c r="W888" s="3"/>
      <c r="X888" s="3"/>
    </row>
    <row r="889" spans="21:24" ht="13">
      <c r="U889" s="3"/>
      <c r="V889" s="3"/>
      <c r="W889" s="3"/>
      <c r="X889" s="3"/>
    </row>
    <row r="890" spans="21:24" ht="13">
      <c r="U890" s="3"/>
      <c r="V890" s="3"/>
      <c r="W890" s="3"/>
      <c r="X890" s="3"/>
    </row>
    <row r="891" spans="21:24" ht="13">
      <c r="U891" s="3"/>
      <c r="V891" s="3"/>
      <c r="W891" s="3"/>
      <c r="X891" s="3"/>
    </row>
    <row r="892" spans="21:24" ht="13">
      <c r="U892" s="3"/>
      <c r="V892" s="3"/>
      <c r="W892" s="3"/>
      <c r="X892" s="3"/>
    </row>
    <row r="893" spans="21:24" ht="13">
      <c r="U893" s="3"/>
      <c r="V893" s="3"/>
      <c r="W893" s="3"/>
      <c r="X893" s="3"/>
    </row>
    <row r="894" spans="21:24" ht="13">
      <c r="U894" s="3"/>
      <c r="V894" s="3"/>
      <c r="W894" s="3"/>
      <c r="X894" s="3"/>
    </row>
    <row r="895" spans="21:24" ht="13">
      <c r="U895" s="3"/>
      <c r="V895" s="3"/>
      <c r="W895" s="3"/>
      <c r="X895" s="3"/>
    </row>
    <row r="896" spans="21:24" ht="13">
      <c r="U896" s="3"/>
      <c r="V896" s="3"/>
      <c r="W896" s="3"/>
      <c r="X896" s="3"/>
    </row>
    <row r="897" spans="21:24" ht="13">
      <c r="U897" s="3"/>
      <c r="V897" s="3"/>
      <c r="W897" s="3"/>
      <c r="X897" s="3"/>
    </row>
    <row r="898" spans="21:24" ht="13">
      <c r="U898" s="3"/>
      <c r="V898" s="3"/>
      <c r="W898" s="3"/>
      <c r="X898" s="3"/>
    </row>
    <row r="899" spans="21:24" ht="13">
      <c r="U899" s="3"/>
      <c r="V899" s="3"/>
      <c r="W899" s="3"/>
      <c r="X899" s="3"/>
    </row>
    <row r="900" spans="21:24" ht="13">
      <c r="U900" s="3"/>
      <c r="V900" s="3"/>
      <c r="W900" s="3"/>
      <c r="X900" s="3"/>
    </row>
    <row r="901" spans="21:24" ht="13">
      <c r="U901" s="3"/>
      <c r="V901" s="3"/>
      <c r="W901" s="3"/>
      <c r="X901" s="3"/>
    </row>
    <row r="902" spans="21:24" ht="13">
      <c r="U902" s="3"/>
      <c r="V902" s="3"/>
      <c r="W902" s="3"/>
      <c r="X902" s="3"/>
    </row>
    <row r="903" spans="21:24" ht="13">
      <c r="U903" s="3"/>
      <c r="V903" s="3"/>
      <c r="W903" s="3"/>
      <c r="X903" s="3"/>
    </row>
    <row r="904" spans="21:24" ht="13">
      <c r="U904" s="3"/>
      <c r="V904" s="3"/>
      <c r="W904" s="3"/>
      <c r="X904" s="3"/>
    </row>
    <row r="905" spans="21:24" ht="13">
      <c r="U905" s="3"/>
      <c r="V905" s="3"/>
      <c r="W905" s="3"/>
      <c r="X905" s="3"/>
    </row>
    <row r="906" spans="21:24" ht="13">
      <c r="U906" s="3"/>
      <c r="V906" s="3"/>
      <c r="W906" s="3"/>
      <c r="X906" s="3"/>
    </row>
    <row r="907" spans="21:24" ht="13">
      <c r="U907" s="3"/>
      <c r="V907" s="3"/>
      <c r="W907" s="3"/>
      <c r="X907" s="3"/>
    </row>
    <row r="908" spans="21:24" ht="13">
      <c r="U908" s="3"/>
      <c r="V908" s="3"/>
      <c r="W908" s="3"/>
      <c r="X908" s="3"/>
    </row>
    <row r="909" spans="21:24" ht="13">
      <c r="U909" s="3"/>
      <c r="V909" s="3"/>
      <c r="W909" s="3"/>
      <c r="X909" s="3"/>
    </row>
    <row r="910" spans="21:24" ht="13">
      <c r="U910" s="3"/>
      <c r="V910" s="3"/>
      <c r="W910" s="3"/>
      <c r="X910" s="3"/>
    </row>
    <row r="911" spans="21:24" ht="13">
      <c r="U911" s="3"/>
      <c r="V911" s="3"/>
      <c r="W911" s="3"/>
      <c r="X911" s="3"/>
    </row>
    <row r="912" spans="21:24" ht="13">
      <c r="U912" s="3"/>
      <c r="V912" s="3"/>
      <c r="W912" s="3"/>
      <c r="X912" s="3"/>
    </row>
    <row r="913" spans="21:24" ht="13">
      <c r="U913" s="3"/>
      <c r="V913" s="3"/>
      <c r="W913" s="3"/>
      <c r="X913" s="3"/>
    </row>
    <row r="914" spans="21:24" ht="13">
      <c r="U914" s="3"/>
      <c r="V914" s="3"/>
      <c r="W914" s="3"/>
      <c r="X914" s="3"/>
    </row>
    <row r="915" spans="21:24" ht="13">
      <c r="U915" s="3"/>
      <c r="V915" s="3"/>
      <c r="W915" s="3"/>
      <c r="X915" s="3"/>
    </row>
    <row r="916" spans="21:24" ht="13">
      <c r="U916" s="3"/>
      <c r="V916" s="3"/>
      <c r="W916" s="3"/>
      <c r="X916" s="3"/>
    </row>
    <row r="917" spans="21:24" ht="13">
      <c r="U917" s="3"/>
      <c r="V917" s="3"/>
      <c r="W917" s="3"/>
      <c r="X917" s="3"/>
    </row>
    <row r="918" spans="21:24" ht="13">
      <c r="U918" s="3"/>
      <c r="V918" s="3"/>
      <c r="W918" s="3"/>
      <c r="X918" s="3"/>
    </row>
    <row r="919" spans="21:24" ht="13">
      <c r="U919" s="3"/>
      <c r="V919" s="3"/>
      <c r="W919" s="3"/>
      <c r="X919" s="3"/>
    </row>
    <row r="920" spans="21:24" ht="13">
      <c r="U920" s="3"/>
      <c r="V920" s="3"/>
      <c r="W920" s="3"/>
      <c r="X920" s="3"/>
    </row>
    <row r="921" spans="21:24" ht="13">
      <c r="U921" s="3"/>
      <c r="V921" s="3"/>
      <c r="W921" s="3"/>
      <c r="X921" s="3"/>
    </row>
    <row r="922" spans="21:24" ht="13">
      <c r="U922" s="3"/>
      <c r="V922" s="3"/>
      <c r="W922" s="3"/>
      <c r="X922" s="3"/>
    </row>
    <row r="923" spans="21:24" ht="13">
      <c r="U923" s="3"/>
      <c r="V923" s="3"/>
      <c r="W923" s="3"/>
      <c r="X923" s="3"/>
    </row>
    <row r="924" spans="21:24" ht="13">
      <c r="U924" s="3"/>
      <c r="V924" s="3"/>
      <c r="W924" s="3"/>
      <c r="X924" s="3"/>
    </row>
    <row r="925" spans="21:24" ht="13">
      <c r="U925" s="3"/>
      <c r="V925" s="3"/>
      <c r="W925" s="3"/>
      <c r="X925" s="3"/>
    </row>
    <row r="926" spans="21:24" ht="13">
      <c r="U926" s="3"/>
      <c r="V926" s="3"/>
      <c r="W926" s="3"/>
      <c r="X926" s="3"/>
    </row>
    <row r="927" spans="21:24" ht="13">
      <c r="U927" s="3"/>
      <c r="V927" s="3"/>
      <c r="W927" s="3"/>
      <c r="X927" s="3"/>
    </row>
    <row r="928" spans="21:24" ht="13">
      <c r="U928" s="3"/>
      <c r="V928" s="3"/>
      <c r="W928" s="3"/>
      <c r="X928" s="3"/>
    </row>
    <row r="929" spans="21:24" ht="13">
      <c r="U929" s="3"/>
      <c r="V929" s="3"/>
      <c r="W929" s="3"/>
      <c r="X929" s="3"/>
    </row>
    <row r="930" spans="21:24" ht="13">
      <c r="U930" s="3"/>
      <c r="V930" s="3"/>
      <c r="W930" s="3"/>
      <c r="X930" s="3"/>
    </row>
    <row r="931" spans="21:24" ht="13">
      <c r="U931" s="3"/>
      <c r="V931" s="3"/>
      <c r="W931" s="3"/>
      <c r="X931" s="3"/>
    </row>
    <row r="932" spans="21:24" ht="13">
      <c r="U932" s="3"/>
      <c r="V932" s="3"/>
      <c r="W932" s="3"/>
      <c r="X932" s="3"/>
    </row>
    <row r="933" spans="21:24" ht="13">
      <c r="U933" s="3"/>
      <c r="V933" s="3"/>
      <c r="W933" s="3"/>
      <c r="X933" s="3"/>
    </row>
    <row r="934" spans="21:24" ht="13">
      <c r="U934" s="3"/>
      <c r="V934" s="3"/>
      <c r="W934" s="3"/>
      <c r="X934" s="3"/>
    </row>
    <row r="935" spans="21:24" ht="13">
      <c r="U935" s="3"/>
      <c r="V935" s="3"/>
      <c r="W935" s="3"/>
      <c r="X935" s="3"/>
    </row>
    <row r="936" spans="21:24" ht="13">
      <c r="U936" s="3"/>
      <c r="V936" s="3"/>
      <c r="W936" s="3"/>
      <c r="X936" s="3"/>
    </row>
    <row r="937" spans="21:24" ht="13">
      <c r="U937" s="3"/>
      <c r="V937" s="3"/>
      <c r="W937" s="3"/>
      <c r="X937" s="3"/>
    </row>
    <row r="938" spans="21:24" ht="13">
      <c r="U938" s="3"/>
      <c r="V938" s="3"/>
      <c r="W938" s="3"/>
      <c r="X938" s="3"/>
    </row>
    <row r="939" spans="21:24" ht="13">
      <c r="U939" s="3"/>
      <c r="V939" s="3"/>
      <c r="W939" s="3"/>
      <c r="X939" s="3"/>
    </row>
    <row r="940" spans="21:24" ht="13">
      <c r="U940" s="3"/>
      <c r="V940" s="3"/>
      <c r="W940" s="3"/>
      <c r="X940" s="3"/>
    </row>
    <row r="941" spans="21:24" ht="13">
      <c r="U941" s="3"/>
      <c r="V941" s="3"/>
      <c r="W941" s="3"/>
      <c r="X941" s="3"/>
    </row>
    <row r="942" spans="21:24" ht="13">
      <c r="U942" s="3"/>
      <c r="V942" s="3"/>
      <c r="W942" s="3"/>
      <c r="X942" s="3"/>
    </row>
    <row r="943" spans="21:24" ht="13">
      <c r="U943" s="3"/>
      <c r="V943" s="3"/>
      <c r="W943" s="3"/>
      <c r="X943" s="3"/>
    </row>
    <row r="944" spans="21:24" ht="13">
      <c r="U944" s="3"/>
      <c r="V944" s="3"/>
      <c r="W944" s="3"/>
      <c r="X944" s="3"/>
    </row>
    <row r="945" spans="21:24" ht="13">
      <c r="U945" s="3"/>
      <c r="V945" s="3"/>
      <c r="W945" s="3"/>
      <c r="X945" s="3"/>
    </row>
    <row r="946" spans="21:24" ht="13">
      <c r="U946" s="3"/>
      <c r="V946" s="3"/>
      <c r="W946" s="3"/>
      <c r="X946" s="3"/>
    </row>
    <row r="947" spans="21:24" ht="13">
      <c r="U947" s="3"/>
      <c r="V947" s="3"/>
      <c r="W947" s="3"/>
      <c r="X947" s="3"/>
    </row>
    <row r="948" spans="21:24" ht="13">
      <c r="U948" s="3"/>
      <c r="V948" s="3"/>
      <c r="W948" s="3"/>
      <c r="X948" s="3"/>
    </row>
    <row r="949" spans="21:24" ht="13">
      <c r="U949" s="3"/>
      <c r="V949" s="3"/>
      <c r="W949" s="3"/>
      <c r="X949" s="3"/>
    </row>
    <row r="950" spans="21:24" ht="13">
      <c r="U950" s="3"/>
      <c r="V950" s="3"/>
      <c r="W950" s="3"/>
      <c r="X950" s="3"/>
    </row>
    <row r="951" spans="21:24" ht="13">
      <c r="U951" s="3"/>
      <c r="V951" s="3"/>
      <c r="W951" s="3"/>
      <c r="X951" s="3"/>
    </row>
    <row r="952" spans="21:24" ht="13">
      <c r="U952" s="3"/>
      <c r="V952" s="3"/>
      <c r="W952" s="3"/>
      <c r="X952" s="3"/>
    </row>
    <row r="953" spans="21:24" ht="13">
      <c r="U953" s="3"/>
      <c r="V953" s="3"/>
      <c r="W953" s="3"/>
      <c r="X953" s="3"/>
    </row>
    <row r="954" spans="21:24" ht="13">
      <c r="U954" s="3"/>
      <c r="V954" s="3"/>
      <c r="W954" s="3"/>
      <c r="X954" s="3"/>
    </row>
    <row r="955" spans="21:24" ht="13">
      <c r="U955" s="3"/>
      <c r="V955" s="3"/>
      <c r="W955" s="3"/>
      <c r="X955" s="3"/>
    </row>
    <row r="956" spans="21:24" ht="13">
      <c r="U956" s="3"/>
      <c r="V956" s="3"/>
      <c r="W956" s="3"/>
      <c r="X956" s="3"/>
    </row>
    <row r="957" spans="21:24" ht="13">
      <c r="U957" s="3"/>
      <c r="V957" s="3"/>
      <c r="W957" s="3"/>
      <c r="X957" s="3"/>
    </row>
    <row r="958" spans="21:24" ht="13">
      <c r="U958" s="3"/>
      <c r="V958" s="3"/>
      <c r="W958" s="3"/>
      <c r="X958" s="3"/>
    </row>
    <row r="959" spans="21:24" ht="13">
      <c r="U959" s="3"/>
      <c r="V959" s="3"/>
      <c r="W959" s="3"/>
      <c r="X959" s="3"/>
    </row>
    <row r="960" spans="21:24" ht="13">
      <c r="U960" s="3"/>
      <c r="V960" s="3"/>
      <c r="W960" s="3"/>
      <c r="X960" s="3"/>
    </row>
    <row r="961" spans="21:24" ht="13">
      <c r="U961" s="3"/>
      <c r="V961" s="3"/>
      <c r="W961" s="3"/>
      <c r="X961" s="3"/>
    </row>
    <row r="962" spans="21:24" ht="13">
      <c r="U962" s="3"/>
      <c r="V962" s="3"/>
      <c r="W962" s="3"/>
      <c r="X962" s="3"/>
    </row>
    <row r="963" spans="21:24" ht="13">
      <c r="U963" s="3"/>
      <c r="V963" s="3"/>
      <c r="W963" s="3"/>
      <c r="X963" s="3"/>
    </row>
    <row r="964" spans="21:24" ht="13">
      <c r="U964" s="3"/>
      <c r="V964" s="3"/>
      <c r="W964" s="3"/>
      <c r="X964" s="3"/>
    </row>
    <row r="965" spans="21:24" ht="13">
      <c r="U965" s="3"/>
      <c r="V965" s="3"/>
      <c r="W965" s="3"/>
      <c r="X965" s="3"/>
    </row>
    <row r="966" spans="21:24" ht="13">
      <c r="U966" s="3"/>
      <c r="V966" s="3"/>
      <c r="W966" s="3"/>
      <c r="X966" s="3"/>
    </row>
    <row r="967" spans="21:24" ht="13">
      <c r="U967" s="3"/>
      <c r="V967" s="3"/>
      <c r="W967" s="3"/>
      <c r="X967" s="3"/>
    </row>
    <row r="968" spans="21:24" ht="13">
      <c r="U968" s="3"/>
      <c r="V968" s="3"/>
      <c r="W968" s="3"/>
      <c r="X968" s="3"/>
    </row>
    <row r="969" spans="21:24" ht="13">
      <c r="U969" s="3"/>
      <c r="V969" s="3"/>
      <c r="W969" s="3"/>
      <c r="X969" s="3"/>
    </row>
    <row r="970" spans="21:24" ht="13">
      <c r="U970" s="3"/>
      <c r="V970" s="3"/>
      <c r="W970" s="3"/>
      <c r="X970" s="3"/>
    </row>
    <row r="971" spans="21:24" ht="13">
      <c r="U971" s="3"/>
      <c r="V971" s="3"/>
      <c r="W971" s="3"/>
      <c r="X971" s="3"/>
    </row>
    <row r="972" spans="21:24" ht="13">
      <c r="U972" s="3"/>
      <c r="V972" s="3"/>
      <c r="W972" s="3"/>
      <c r="X972" s="3"/>
    </row>
    <row r="973" spans="21:24" ht="13">
      <c r="U973" s="3"/>
      <c r="V973" s="3"/>
      <c r="W973" s="3"/>
      <c r="X973" s="3"/>
    </row>
    <row r="974" spans="21:24" ht="13">
      <c r="U974" s="3"/>
      <c r="V974" s="3"/>
      <c r="W974" s="3"/>
      <c r="X974" s="3"/>
    </row>
    <row r="975" spans="21:24" ht="13">
      <c r="U975" s="3"/>
      <c r="V975" s="3"/>
      <c r="W975" s="3"/>
      <c r="X975" s="3"/>
    </row>
    <row r="976" spans="21:24" ht="13">
      <c r="U976" s="3"/>
      <c r="V976" s="3"/>
      <c r="W976" s="3"/>
      <c r="X976" s="3"/>
    </row>
    <row r="977" spans="21:24" ht="13">
      <c r="U977" s="3"/>
      <c r="V977" s="3"/>
      <c r="W977" s="3"/>
      <c r="X977" s="3"/>
    </row>
    <row r="978" spans="21:24" ht="13">
      <c r="U978" s="3"/>
      <c r="V978" s="3"/>
      <c r="W978" s="3"/>
      <c r="X978" s="3"/>
    </row>
    <row r="979" spans="21:24" ht="13">
      <c r="U979" s="3"/>
      <c r="V979" s="3"/>
      <c r="W979" s="3"/>
      <c r="X979" s="3"/>
    </row>
    <row r="980" spans="21:24" ht="13">
      <c r="U980" s="3"/>
      <c r="V980" s="3"/>
      <c r="W980" s="3"/>
      <c r="X980" s="3"/>
    </row>
    <row r="981" spans="21:24" ht="13">
      <c r="U981" s="3"/>
      <c r="V981" s="3"/>
      <c r="W981" s="3"/>
      <c r="X981" s="3"/>
    </row>
    <row r="982" spans="21:24" ht="13">
      <c r="U982" s="3"/>
      <c r="V982" s="3"/>
      <c r="W982" s="3"/>
      <c r="X982" s="3"/>
    </row>
    <row r="983" spans="21:24" ht="13">
      <c r="U983" s="3"/>
      <c r="V983" s="3"/>
      <c r="W983" s="3"/>
      <c r="X983" s="3"/>
    </row>
    <row r="984" spans="21:24" ht="13">
      <c r="U984" s="3"/>
      <c r="V984" s="3"/>
      <c r="W984" s="3"/>
      <c r="X984" s="3"/>
    </row>
    <row r="985" spans="21:24" ht="13">
      <c r="U985" s="3"/>
      <c r="V985" s="3"/>
      <c r="W985" s="3"/>
      <c r="X985" s="3"/>
    </row>
    <row r="986" spans="21:24" ht="13">
      <c r="U986" s="3"/>
      <c r="V986" s="3"/>
      <c r="W986" s="3"/>
      <c r="X986" s="3"/>
    </row>
    <row r="987" spans="21:24" ht="13">
      <c r="U987" s="3"/>
      <c r="V987" s="3"/>
      <c r="W987" s="3"/>
      <c r="X987" s="3"/>
    </row>
    <row r="988" spans="21:24" ht="13">
      <c r="U988" s="3"/>
      <c r="V988" s="3"/>
      <c r="W988" s="3"/>
      <c r="X988" s="3"/>
    </row>
    <row r="989" spans="21:24" ht="13">
      <c r="U989" s="3"/>
      <c r="V989" s="3"/>
      <c r="W989" s="3"/>
      <c r="X989" s="3"/>
    </row>
    <row r="990" spans="21:24" ht="13">
      <c r="U990" s="3"/>
      <c r="V990" s="3"/>
      <c r="W990" s="3"/>
      <c r="X990" s="3"/>
    </row>
    <row r="991" spans="21:24" ht="13">
      <c r="U991" s="3"/>
      <c r="V991" s="3"/>
      <c r="W991" s="3"/>
      <c r="X991" s="3"/>
    </row>
    <row r="992" spans="21:24" ht="13">
      <c r="U992" s="3"/>
      <c r="V992" s="3"/>
      <c r="W992" s="3"/>
      <c r="X992" s="3"/>
    </row>
    <row r="993" spans="21:24" ht="13">
      <c r="U993" s="3"/>
      <c r="V993" s="3"/>
      <c r="W993" s="3"/>
      <c r="X993" s="3"/>
    </row>
    <row r="994" spans="21:24" ht="13">
      <c r="U994" s="3"/>
      <c r="V994" s="3"/>
      <c r="W994" s="3"/>
      <c r="X994" s="3"/>
    </row>
    <row r="995" spans="21:24" ht="13">
      <c r="U995" s="3"/>
      <c r="V995" s="3"/>
      <c r="W995" s="3"/>
      <c r="X995" s="3"/>
    </row>
    <row r="996" spans="21:24" ht="13">
      <c r="U996" s="3"/>
      <c r="V996" s="3"/>
      <c r="W996" s="3"/>
      <c r="X996" s="3"/>
    </row>
    <row r="997" spans="21:24" ht="13">
      <c r="U997" s="3"/>
      <c r="V997" s="3"/>
      <c r="W997" s="3"/>
      <c r="X997" s="3"/>
    </row>
    <row r="998" spans="21:24" ht="13">
      <c r="U998" s="3"/>
      <c r="V998" s="3"/>
      <c r="W998" s="3"/>
      <c r="X998" s="3"/>
    </row>
    <row r="999" spans="21:24" ht="13">
      <c r="U999" s="3"/>
      <c r="V999" s="3"/>
      <c r="W999" s="3"/>
      <c r="X999" s="3"/>
    </row>
    <row r="1000" spans="21:24" ht="13">
      <c r="U1000" s="3"/>
      <c r="V1000" s="3"/>
      <c r="W1000" s="3"/>
      <c r="X1000" s="3"/>
    </row>
    <row r="1001" spans="21:24" ht="13">
      <c r="U1001" s="3"/>
      <c r="V1001" s="3"/>
      <c r="W1001" s="3"/>
      <c r="X1001" s="3"/>
    </row>
    <row r="1002" spans="21:24" ht="13">
      <c r="U1002" s="3"/>
      <c r="V1002" s="3"/>
      <c r="W1002" s="3"/>
      <c r="X1002" s="3"/>
    </row>
    <row r="1003" spans="21:24" ht="13">
      <c r="U1003" s="3"/>
      <c r="V1003" s="3"/>
      <c r="W1003" s="3"/>
      <c r="X1003" s="3"/>
    </row>
    <row r="1004" spans="21:24" ht="13">
      <c r="U1004" s="3"/>
      <c r="V1004" s="3"/>
      <c r="W1004" s="3"/>
      <c r="X1004" s="3"/>
    </row>
    <row r="1005" spans="21:24" ht="13">
      <c r="U1005" s="3"/>
      <c r="V1005" s="3"/>
      <c r="W1005" s="3"/>
      <c r="X1005" s="3"/>
    </row>
    <row r="1006" spans="21:24" ht="13">
      <c r="U1006" s="3"/>
      <c r="V1006" s="3"/>
      <c r="W1006" s="3"/>
      <c r="X1006" s="3"/>
    </row>
  </sheetData>
  <conditionalFormatting sqref="U30:X33">
    <cfRule type="colorScale" priority="1">
      <colorScale>
        <cfvo type="min"/>
        <cfvo type="max"/>
        <color theme="7" tint="-0.249977111117893"/>
        <color rgb="FFFFFF00"/>
      </colorScale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9326-A56B-6C43-BE9D-08070DD0E805}">
  <sheetPr>
    <outlinePr summaryBelow="0" summaryRight="0"/>
  </sheetPr>
  <dimension ref="A1:AH1015"/>
  <sheetViews>
    <sheetView workbookViewId="0">
      <pane ySplit="1" topLeftCell="A31" activePane="bottomLeft" state="frozen"/>
      <selection pane="bottomLeft" activeCell="AG61" sqref="Z60:AG61"/>
    </sheetView>
  </sheetViews>
  <sheetFormatPr baseColWidth="10" defaultColWidth="12.6640625" defaultRowHeight="15.75" customHeight="1"/>
  <cols>
    <col min="1" max="1" width="3.33203125" customWidth="1"/>
    <col min="2" max="2" width="3.6640625" customWidth="1"/>
    <col min="3" max="9" width="3.1640625" customWidth="1"/>
    <col min="10" max="17" width="3" customWidth="1"/>
    <col min="18" max="18" width="2.1640625" customWidth="1"/>
    <col min="19" max="19" width="2.6640625" customWidth="1"/>
    <col min="20" max="25" width="3.33203125" customWidth="1"/>
    <col min="26" max="33" width="3.83203125" customWidth="1"/>
    <col min="34" max="34" width="5.6640625" customWidth="1"/>
    <col min="35" max="42" width="4.83203125" customWidth="1"/>
  </cols>
  <sheetData>
    <row r="1" spans="1:34" ht="15" customHeight="1">
      <c r="A1" s="42" t="s">
        <v>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  <c r="W1" s="43"/>
      <c r="X1" s="43"/>
      <c r="Y1" s="43"/>
      <c r="Z1" s="43"/>
      <c r="AA1" s="43"/>
      <c r="AB1" s="43"/>
      <c r="AC1" s="43"/>
    </row>
    <row r="2" spans="1:34" ht="13">
      <c r="A2" s="3"/>
      <c r="B2" s="34"/>
      <c r="C2" s="4"/>
      <c r="D2" s="4"/>
      <c r="E2" s="4"/>
      <c r="J2" s="1"/>
      <c r="Z2" s="2"/>
      <c r="AA2" s="3"/>
      <c r="AB2" s="3"/>
      <c r="AC2" s="3"/>
    </row>
    <row r="3" spans="1:34" ht="13">
      <c r="A3" s="3"/>
      <c r="B3" s="4"/>
      <c r="C3" s="4"/>
      <c r="D3" s="4"/>
      <c r="E3" s="4"/>
      <c r="G3" s="4" t="s">
        <v>0</v>
      </c>
      <c r="J3" s="1" t="s">
        <v>1</v>
      </c>
      <c r="Z3" s="2" t="s">
        <v>2</v>
      </c>
      <c r="AA3" s="3"/>
      <c r="AB3" s="3"/>
      <c r="AC3" s="3"/>
    </row>
    <row r="4" spans="1:34" ht="13">
      <c r="G4" s="4" t="s">
        <v>74</v>
      </c>
      <c r="J4" s="3" t="s">
        <v>3</v>
      </c>
      <c r="K4" s="3" t="s">
        <v>4</v>
      </c>
      <c r="L4" s="3" t="s">
        <v>5</v>
      </c>
      <c r="M4" s="3" t="s">
        <v>6</v>
      </c>
      <c r="N4" s="3" t="s">
        <v>80</v>
      </c>
      <c r="O4" s="3" t="s">
        <v>82</v>
      </c>
      <c r="P4" s="3" t="s">
        <v>83</v>
      </c>
      <c r="Q4" s="3" t="s">
        <v>84</v>
      </c>
      <c r="S4" s="5"/>
      <c r="T4" s="6"/>
      <c r="U4" s="6"/>
      <c r="V4" s="6"/>
      <c r="W4" s="6"/>
      <c r="X4" s="6"/>
      <c r="Y4" s="7"/>
      <c r="Z4" s="3" t="s">
        <v>7</v>
      </c>
      <c r="AA4" s="3" t="s">
        <v>8</v>
      </c>
      <c r="AB4" s="3" t="s">
        <v>9</v>
      </c>
      <c r="AC4" s="3" t="s">
        <v>10</v>
      </c>
      <c r="AD4" s="3" t="s">
        <v>85</v>
      </c>
      <c r="AE4" s="3" t="s">
        <v>86</v>
      </c>
      <c r="AF4" s="3" t="s">
        <v>87</v>
      </c>
      <c r="AG4" s="3" t="s">
        <v>88</v>
      </c>
    </row>
    <row r="5" spans="1:34" ht="13">
      <c r="A5" s="37" t="s">
        <v>79</v>
      </c>
      <c r="E5">
        <v>8</v>
      </c>
      <c r="J5" s="8">
        <v>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2</v>
      </c>
      <c r="S5" s="5"/>
      <c r="T5" s="9"/>
      <c r="Z5" s="57">
        <f>J14</f>
        <v>2</v>
      </c>
      <c r="AA5" s="57">
        <f t="shared" ref="AA5:AG5" si="0">K14</f>
        <v>1</v>
      </c>
      <c r="AB5" s="57">
        <f t="shared" si="0"/>
        <v>1</v>
      </c>
      <c r="AC5" s="57">
        <f t="shared" si="0"/>
        <v>0</v>
      </c>
      <c r="AD5" s="57">
        <f t="shared" si="0"/>
        <v>1</v>
      </c>
      <c r="AE5" s="57">
        <f t="shared" si="0"/>
        <v>0</v>
      </c>
      <c r="AF5" s="57">
        <f t="shared" si="0"/>
        <v>0</v>
      </c>
      <c r="AG5" s="57">
        <f t="shared" si="0"/>
        <v>2</v>
      </c>
    </row>
    <row r="6" spans="1:34" ht="13">
      <c r="A6" s="37" t="s">
        <v>75</v>
      </c>
      <c r="E6">
        <v>6</v>
      </c>
      <c r="G6" s="1"/>
      <c r="J6" s="8">
        <v>0</v>
      </c>
      <c r="K6" s="8">
        <v>1</v>
      </c>
      <c r="L6" s="8">
        <v>1</v>
      </c>
      <c r="M6" s="8">
        <v>0</v>
      </c>
      <c r="N6" s="8">
        <v>1</v>
      </c>
      <c r="O6" s="8">
        <v>0</v>
      </c>
      <c r="P6" s="8">
        <v>0</v>
      </c>
      <c r="Q6" s="8">
        <v>0</v>
      </c>
      <c r="S6" s="5"/>
      <c r="Z6" s="57">
        <f t="shared" ref="Z6:AG8" si="1">J15</f>
        <v>0</v>
      </c>
      <c r="AA6" s="57">
        <f t="shared" si="1"/>
        <v>1</v>
      </c>
      <c r="AB6" s="57">
        <f t="shared" si="1"/>
        <v>1</v>
      </c>
      <c r="AC6" s="57">
        <f t="shared" si="1"/>
        <v>2</v>
      </c>
      <c r="AD6" s="57">
        <f t="shared" si="1"/>
        <v>1</v>
      </c>
      <c r="AE6" s="57">
        <f t="shared" si="1"/>
        <v>0</v>
      </c>
      <c r="AF6" s="57">
        <f t="shared" si="1"/>
        <v>1</v>
      </c>
      <c r="AG6" s="57">
        <f t="shared" si="1"/>
        <v>1</v>
      </c>
    </row>
    <row r="7" spans="1:34" ht="13">
      <c r="A7" s="37" t="s">
        <v>76</v>
      </c>
      <c r="B7" s="37"/>
      <c r="E7">
        <v>4</v>
      </c>
      <c r="J7" s="8">
        <v>0</v>
      </c>
      <c r="K7" s="8">
        <v>2</v>
      </c>
      <c r="L7" s="8">
        <v>2</v>
      </c>
      <c r="M7" s="8">
        <v>0</v>
      </c>
      <c r="N7" s="8">
        <v>0</v>
      </c>
      <c r="O7" s="8">
        <v>2</v>
      </c>
      <c r="P7" s="8">
        <v>1</v>
      </c>
      <c r="Q7" s="8">
        <v>0</v>
      </c>
      <c r="S7" s="5"/>
      <c r="Z7" s="57">
        <f t="shared" si="1"/>
        <v>0</v>
      </c>
      <c r="AA7" s="57">
        <f t="shared" si="1"/>
        <v>1</v>
      </c>
      <c r="AB7" s="57">
        <f t="shared" si="1"/>
        <v>1</v>
      </c>
      <c r="AC7" s="57">
        <f t="shared" si="1"/>
        <v>2</v>
      </c>
      <c r="AD7" s="57">
        <f t="shared" si="1"/>
        <v>1</v>
      </c>
      <c r="AE7" s="57">
        <f t="shared" si="1"/>
        <v>0</v>
      </c>
      <c r="AF7" s="57">
        <f t="shared" si="1"/>
        <v>1</v>
      </c>
      <c r="AG7" s="57">
        <f t="shared" si="1"/>
        <v>1</v>
      </c>
    </row>
    <row r="8" spans="1:34" ht="13">
      <c r="A8" s="37" t="s">
        <v>77</v>
      </c>
      <c r="E8">
        <v>6</v>
      </c>
      <c r="J8" s="8">
        <v>0</v>
      </c>
      <c r="K8" s="8">
        <v>0</v>
      </c>
      <c r="L8" s="8">
        <v>0</v>
      </c>
      <c r="M8" s="8">
        <v>2</v>
      </c>
      <c r="N8" s="8">
        <v>0</v>
      </c>
      <c r="O8" s="8">
        <v>0</v>
      </c>
      <c r="P8" s="8">
        <v>1</v>
      </c>
      <c r="Q8" s="8">
        <v>1</v>
      </c>
      <c r="S8" s="5"/>
      <c r="Z8" s="57">
        <f t="shared" si="1"/>
        <v>3</v>
      </c>
      <c r="AA8" s="57">
        <f t="shared" si="1"/>
        <v>2</v>
      </c>
      <c r="AB8" s="57">
        <f t="shared" si="1"/>
        <v>2</v>
      </c>
      <c r="AC8" s="57">
        <f t="shared" si="1"/>
        <v>1</v>
      </c>
      <c r="AD8" s="57">
        <f t="shared" si="1"/>
        <v>1</v>
      </c>
      <c r="AE8" s="57">
        <f t="shared" si="1"/>
        <v>3</v>
      </c>
      <c r="AF8" s="57">
        <f t="shared" si="1"/>
        <v>2</v>
      </c>
      <c r="AG8" s="57">
        <f t="shared" si="1"/>
        <v>1</v>
      </c>
    </row>
    <row r="9" spans="1:34" ht="13">
      <c r="A9" s="37" t="s">
        <v>78</v>
      </c>
      <c r="E9">
        <v>6</v>
      </c>
      <c r="J9" s="8">
        <v>2</v>
      </c>
      <c r="K9" s="8">
        <v>0</v>
      </c>
      <c r="L9" s="8">
        <v>0</v>
      </c>
      <c r="M9" s="8">
        <v>1</v>
      </c>
      <c r="N9" s="8">
        <v>1</v>
      </c>
      <c r="O9" s="8">
        <v>0</v>
      </c>
      <c r="P9" s="8">
        <v>0</v>
      </c>
      <c r="Q9" s="8">
        <v>0</v>
      </c>
      <c r="R9" s="9"/>
      <c r="S9" s="5"/>
      <c r="U9" s="10" t="s">
        <v>11</v>
      </c>
      <c r="V9" s="11"/>
      <c r="W9" s="12"/>
      <c r="X9" s="12"/>
      <c r="Z9" s="48" t="s">
        <v>12</v>
      </c>
    </row>
    <row r="10" spans="1:34" ht="13"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1</v>
      </c>
      <c r="Q10" s="8">
        <v>1</v>
      </c>
      <c r="R10" s="9"/>
      <c r="S10" s="5"/>
      <c r="U10" s="1" t="s">
        <v>13</v>
      </c>
      <c r="Z10" s="3" t="s">
        <v>14</v>
      </c>
      <c r="AA10" s="3" t="s">
        <v>14</v>
      </c>
      <c r="AB10" s="3" t="s">
        <v>14</v>
      </c>
      <c r="AC10" s="3" t="s">
        <v>14</v>
      </c>
      <c r="AD10" s="3" t="s">
        <v>14</v>
      </c>
      <c r="AE10" s="3" t="s">
        <v>14</v>
      </c>
      <c r="AF10" s="3" t="s">
        <v>14</v>
      </c>
      <c r="AG10" s="3" t="s">
        <v>14</v>
      </c>
    </row>
    <row r="11" spans="1:34" ht="13">
      <c r="F11" s="3"/>
      <c r="G11" s="3"/>
      <c r="H11" s="3"/>
      <c r="I11" s="3"/>
      <c r="J11" s="3" t="s">
        <v>14</v>
      </c>
      <c r="K11" s="3" t="s">
        <v>14</v>
      </c>
      <c r="L11" s="3" t="s">
        <v>14</v>
      </c>
      <c r="M11" s="3" t="s">
        <v>14</v>
      </c>
      <c r="N11" s="3" t="s">
        <v>14</v>
      </c>
      <c r="O11" s="3" t="s">
        <v>14</v>
      </c>
      <c r="P11" s="3" t="s">
        <v>14</v>
      </c>
      <c r="Q11" s="3" t="s">
        <v>14</v>
      </c>
      <c r="R11" s="9"/>
      <c r="S11" s="5"/>
      <c r="T11" s="4" t="s">
        <v>15</v>
      </c>
      <c r="U11" s="44" cm="1">
        <f t="array" ref="U11:X18">TRANSPOSE(J22:Q25)</f>
        <v>0</v>
      </c>
      <c r="V11" s="44">
        <v>0</v>
      </c>
      <c r="W11" s="44">
        <v>0</v>
      </c>
      <c r="X11" s="44">
        <v>1</v>
      </c>
      <c r="Y11" s="3" t="s">
        <v>16</v>
      </c>
      <c r="Z11" s="44" cm="1">
        <f t="array" ref="Z11">MMULT($U11:$X11,Z$5:Z$8)</f>
        <v>3</v>
      </c>
      <c r="AA11" s="44" cm="1">
        <f t="array" ref="AA11">MMULT($U11:$X11,AA$5:AA$8)</f>
        <v>2</v>
      </c>
      <c r="AB11" s="44" cm="1">
        <f t="array" ref="AB11">MMULT($U11:$X11,AB$5:AB$8)</f>
        <v>2</v>
      </c>
      <c r="AC11" s="44" cm="1">
        <f t="array" ref="AC11">MMULT($U11:$X11,AC$5:AC$8)</f>
        <v>1</v>
      </c>
      <c r="AD11" s="44" cm="1">
        <f t="array" ref="AD11">MMULT($U11:$X11,AD$5:AD$8)</f>
        <v>1</v>
      </c>
      <c r="AE11" s="44" cm="1">
        <f t="array" ref="AE11">MMULT($U11:$X11,AE$5:AE$8)</f>
        <v>3</v>
      </c>
      <c r="AF11" s="44" cm="1">
        <f t="array" ref="AF11">MMULT($U11:$X11,AF$5:AF$8)</f>
        <v>2</v>
      </c>
      <c r="AG11" s="44" cm="1">
        <f t="array" ref="AG11">MMULT($U11:$X11,AG$5:AG$8)</f>
        <v>1</v>
      </c>
      <c r="AH11" s="3"/>
    </row>
    <row r="12" spans="1:34" ht="13">
      <c r="J12" s="13" t="s">
        <v>18</v>
      </c>
      <c r="S12" s="5"/>
      <c r="T12" s="4" t="s">
        <v>17</v>
      </c>
      <c r="U12" s="44">
        <v>2</v>
      </c>
      <c r="V12" s="44">
        <v>1</v>
      </c>
      <c r="W12" s="44">
        <v>1</v>
      </c>
      <c r="X12" s="44">
        <v>0</v>
      </c>
      <c r="Y12" s="3" t="s">
        <v>16</v>
      </c>
      <c r="Z12" s="44" cm="1">
        <f t="array" ref="Z12">MMULT($U12:$X12,Z$5:Z$8)</f>
        <v>4</v>
      </c>
      <c r="AA12" s="44" cm="1">
        <f t="array" ref="AA12">MMULT($U12:$X12,AA$5:AA$8)</f>
        <v>4</v>
      </c>
      <c r="AB12" s="44" cm="1">
        <f t="array" ref="AB12">MMULT($U12:$X12,AB$5:AB$8)</f>
        <v>4</v>
      </c>
      <c r="AC12" s="44" cm="1">
        <f t="array" ref="AC12">MMULT($U12:$X12,AC$5:AC$8)</f>
        <v>4</v>
      </c>
      <c r="AD12" s="44" cm="1">
        <f t="array" ref="AD12">MMULT($U12:$X12,AD$5:AD$8)</f>
        <v>4</v>
      </c>
      <c r="AE12" s="44" cm="1">
        <f t="array" ref="AE12">MMULT($U12:$X12,AE$5:AE$8)</f>
        <v>0</v>
      </c>
      <c r="AF12" s="44" cm="1">
        <f t="array" ref="AF12">MMULT($U12:$X12,AF$5:AF$8)</f>
        <v>2</v>
      </c>
      <c r="AG12" s="44" cm="1">
        <f t="array" ref="AG12">MMULT($U12:$X12,AG$5:AG$8)</f>
        <v>6</v>
      </c>
      <c r="AH12" s="3"/>
    </row>
    <row r="13" spans="1:34" ht="14" thickBot="1">
      <c r="C13" s="1" t="s">
        <v>20</v>
      </c>
      <c r="J13" s="4" t="s">
        <v>7</v>
      </c>
      <c r="K13" s="4" t="s">
        <v>8</v>
      </c>
      <c r="L13" s="4" t="s">
        <v>9</v>
      </c>
      <c r="M13" s="4" t="s">
        <v>10</v>
      </c>
      <c r="N13" s="4" t="s">
        <v>85</v>
      </c>
      <c r="O13" s="4" t="s">
        <v>86</v>
      </c>
      <c r="P13" s="4" t="s">
        <v>87</v>
      </c>
      <c r="Q13" s="4" t="s">
        <v>88</v>
      </c>
      <c r="R13" s="6"/>
      <c r="S13" s="14"/>
      <c r="T13" s="4" t="s">
        <v>19</v>
      </c>
      <c r="U13" s="44">
        <v>2</v>
      </c>
      <c r="V13" s="44">
        <v>1</v>
      </c>
      <c r="W13" s="44">
        <v>1</v>
      </c>
      <c r="X13" s="44">
        <v>0</v>
      </c>
      <c r="Y13" s="3" t="s">
        <v>16</v>
      </c>
      <c r="Z13" s="44" cm="1">
        <f t="array" ref="Z13">MMULT($U13:$X13,Z$5:Z$8)</f>
        <v>4</v>
      </c>
      <c r="AA13" s="44" cm="1">
        <f t="array" ref="AA13">MMULT($U13:$X13,AA$5:AA$8)</f>
        <v>4</v>
      </c>
      <c r="AB13" s="44" cm="1">
        <f t="array" ref="AB13">MMULT($U13:$X13,AB$5:AB$8)</f>
        <v>4</v>
      </c>
      <c r="AC13" s="44" cm="1">
        <f t="array" ref="AC13">MMULT($U13:$X13,AC$5:AC$8)</f>
        <v>4</v>
      </c>
      <c r="AD13" s="44" cm="1">
        <f t="array" ref="AD13">MMULT($U13:$X13,AD$5:AD$8)</f>
        <v>4</v>
      </c>
      <c r="AE13" s="44" cm="1">
        <f t="array" ref="AE13">MMULT($U13:$X13,AE$5:AE$8)</f>
        <v>0</v>
      </c>
      <c r="AF13" s="44" cm="1">
        <f t="array" ref="AF13">MMULT($U13:$X13,AF$5:AF$8)</f>
        <v>2</v>
      </c>
      <c r="AG13" s="44" cm="1">
        <f t="array" ref="AG13">MMULT($U13:$X13,AG$5:AG$8)</f>
        <v>6</v>
      </c>
      <c r="AH13" s="3"/>
    </row>
    <row r="14" spans="1:34" ht="13">
      <c r="C14" s="15">
        <v>1</v>
      </c>
      <c r="D14" s="16">
        <v>1</v>
      </c>
      <c r="E14" s="16">
        <v>0</v>
      </c>
      <c r="F14" s="16">
        <v>0</v>
      </c>
      <c r="G14" s="16">
        <v>0</v>
      </c>
      <c r="H14" s="17">
        <v>0</v>
      </c>
      <c r="I14" s="3" t="s">
        <v>16</v>
      </c>
      <c r="J14" s="44" cm="1">
        <f t="array" ref="J14">MMULT($C14:$H14,J$5:J$10)</f>
        <v>2</v>
      </c>
      <c r="K14" s="44" cm="1">
        <f t="array" ref="K14">MMULT($C14:$H14,K$5:K$10)</f>
        <v>1</v>
      </c>
      <c r="L14" s="44" cm="1">
        <f t="array" ref="L14">MMULT($C14:$H14,L$5:L$10)</f>
        <v>1</v>
      </c>
      <c r="M14" s="44" cm="1">
        <f t="array" ref="M14">MMULT($C14:$H14,M$5:M$10)</f>
        <v>0</v>
      </c>
      <c r="N14" s="44" cm="1">
        <f t="array" ref="N14">MMULT($C14:$H14,N$5:N$10)</f>
        <v>1</v>
      </c>
      <c r="O14" s="44" cm="1">
        <f t="array" ref="O14">MMULT($C14:$H14,O$5:O$10)</f>
        <v>0</v>
      </c>
      <c r="P14" s="44" cm="1">
        <f t="array" ref="P14">MMULT($C14:$H14,P$5:P$10)</f>
        <v>0</v>
      </c>
      <c r="Q14" s="44" cm="1">
        <f t="array" ref="Q14">MMULT($C14:$H14,Q$5:Q$10)</f>
        <v>2</v>
      </c>
      <c r="T14" s="4" t="s">
        <v>21</v>
      </c>
      <c r="U14" s="44">
        <v>0</v>
      </c>
      <c r="V14" s="44">
        <v>0</v>
      </c>
      <c r="W14" s="44">
        <v>0</v>
      </c>
      <c r="X14" s="44">
        <v>0</v>
      </c>
      <c r="Y14" s="3" t="s">
        <v>16</v>
      </c>
      <c r="Z14" s="44" cm="1">
        <f t="array" ref="Z14">MMULT($U14:$X14,Z$5:Z$8)</f>
        <v>0</v>
      </c>
      <c r="AA14" s="44" cm="1">
        <f t="array" ref="AA14">MMULT($U14:$X14,AA$5:AA$8)</f>
        <v>0</v>
      </c>
      <c r="AB14" s="44" cm="1">
        <f t="array" ref="AB14">MMULT($U14:$X14,AB$5:AB$8)</f>
        <v>0</v>
      </c>
      <c r="AC14" s="44" cm="1">
        <f t="array" ref="AC14">MMULT($U14:$X14,AC$5:AC$8)</f>
        <v>0</v>
      </c>
      <c r="AD14" s="44" cm="1">
        <f t="array" ref="AD14">MMULT($U14:$X14,AD$5:AD$8)</f>
        <v>0</v>
      </c>
      <c r="AE14" s="44" cm="1">
        <f t="array" ref="AE14">MMULT($U14:$X14,AE$5:AE$8)</f>
        <v>0</v>
      </c>
      <c r="AF14" s="44" cm="1">
        <f t="array" ref="AF14">MMULT($U14:$X14,AF$5:AF$8)</f>
        <v>0</v>
      </c>
      <c r="AG14" s="44" cm="1">
        <f t="array" ref="AG14">MMULT($U14:$X14,AG$5:AG$8)</f>
        <v>0</v>
      </c>
      <c r="AH14" s="3"/>
    </row>
    <row r="15" spans="1:34" ht="13">
      <c r="C15" s="18">
        <v>0</v>
      </c>
      <c r="D15" s="19">
        <v>1</v>
      </c>
      <c r="E15" s="19">
        <v>0</v>
      </c>
      <c r="F15" s="19">
        <v>1</v>
      </c>
      <c r="G15" s="19">
        <v>0</v>
      </c>
      <c r="H15" s="20">
        <v>0</v>
      </c>
      <c r="I15" s="3" t="s">
        <v>16</v>
      </c>
      <c r="J15" s="44" cm="1">
        <f t="array" ref="J15">MMULT($C15:$H15,J$5:J$10)</f>
        <v>0</v>
      </c>
      <c r="K15" s="44" cm="1">
        <f t="array" ref="K15">MMULT($C15:$H15,K$5:K$10)</f>
        <v>1</v>
      </c>
      <c r="L15" s="44" cm="1">
        <f t="array" ref="L15">MMULT($C15:$H15,L$5:L$10)</f>
        <v>1</v>
      </c>
      <c r="M15" s="44" cm="1">
        <f t="array" ref="M15">MMULT($C15:$H15,M$5:M$10)</f>
        <v>2</v>
      </c>
      <c r="N15" s="44" cm="1">
        <f t="array" ref="N15">MMULT($C15:$H15,N$5:N$10)</f>
        <v>1</v>
      </c>
      <c r="O15" s="44" cm="1">
        <f t="array" ref="O15">MMULT($C15:$H15,O$5:O$10)</f>
        <v>0</v>
      </c>
      <c r="P15" s="44" cm="1">
        <f t="array" ref="P15">MMULT($C15:$H15,P$5:P$10)</f>
        <v>1</v>
      </c>
      <c r="Q15" s="44" cm="1">
        <f t="array" ref="Q15">MMULT($C15:$H15,Q$5:Q$10)</f>
        <v>1</v>
      </c>
      <c r="R15" s="21"/>
      <c r="S15" s="21"/>
      <c r="T15" s="4" t="s">
        <v>89</v>
      </c>
      <c r="U15" s="44">
        <v>0</v>
      </c>
      <c r="V15" s="44">
        <v>1</v>
      </c>
      <c r="W15" s="44">
        <v>1</v>
      </c>
      <c r="X15" s="44">
        <v>0</v>
      </c>
      <c r="Y15" s="3" t="s">
        <v>16</v>
      </c>
      <c r="Z15" s="44" cm="1">
        <f t="array" ref="Z15">MMULT($U15:$X15,Z$5:Z$8)</f>
        <v>0</v>
      </c>
      <c r="AA15" s="44" cm="1">
        <f t="array" ref="AA15">MMULT($U15:$X15,AA$5:AA$8)</f>
        <v>2</v>
      </c>
      <c r="AB15" s="44" cm="1">
        <f t="array" ref="AB15">MMULT($U15:$X15,AB$5:AB$8)</f>
        <v>2</v>
      </c>
      <c r="AC15" s="44" cm="1">
        <f t="array" ref="AC15">MMULT($U15:$X15,AC$5:AC$8)</f>
        <v>4</v>
      </c>
      <c r="AD15" s="44" cm="1">
        <f t="array" ref="AD15">MMULT($U15:$X15,AD$5:AD$8)</f>
        <v>2</v>
      </c>
      <c r="AE15" s="44" cm="1">
        <f t="array" ref="AE15">MMULT($U15:$X15,AE$5:AE$8)</f>
        <v>0</v>
      </c>
      <c r="AF15" s="44" cm="1">
        <f t="array" ref="AF15">MMULT($U15:$X15,AF$5:AF$8)</f>
        <v>2</v>
      </c>
      <c r="AG15" s="44" cm="1">
        <f t="array" ref="AG15">MMULT($U15:$X15,AG$5:AG$8)</f>
        <v>2</v>
      </c>
      <c r="AH15" s="3"/>
    </row>
    <row r="16" spans="1:34" ht="13">
      <c r="C16" s="18">
        <v>0</v>
      </c>
      <c r="D16" s="19">
        <v>1</v>
      </c>
      <c r="E16" s="19">
        <v>0</v>
      </c>
      <c r="F16" s="19">
        <v>1</v>
      </c>
      <c r="G16" s="19">
        <v>0</v>
      </c>
      <c r="H16" s="20">
        <v>0</v>
      </c>
      <c r="I16" s="3" t="s">
        <v>16</v>
      </c>
      <c r="J16" s="44" cm="1">
        <f t="array" ref="J16">MMULT($C16:$H16,J$5:J$10)</f>
        <v>0</v>
      </c>
      <c r="K16" s="44" cm="1">
        <f t="array" ref="K16">MMULT($C16:$H16,K$5:K$10)</f>
        <v>1</v>
      </c>
      <c r="L16" s="44" cm="1">
        <f t="array" ref="L16">MMULT($C16:$H16,L$5:L$10)</f>
        <v>1</v>
      </c>
      <c r="M16" s="44" cm="1">
        <f t="array" ref="M16">MMULT($C16:$H16,M$5:M$10)</f>
        <v>2</v>
      </c>
      <c r="N16" s="44" cm="1">
        <f t="array" ref="N16">MMULT($C16:$H16,N$5:N$10)</f>
        <v>1</v>
      </c>
      <c r="O16" s="44" cm="1">
        <f t="array" ref="O16">MMULT($C16:$H16,O$5:O$10)</f>
        <v>0</v>
      </c>
      <c r="P16" s="44" cm="1">
        <f t="array" ref="P16">MMULT($C16:$H16,P$5:P$10)</f>
        <v>1</v>
      </c>
      <c r="Q16" s="44" cm="1">
        <f t="array" ref="Q16">MMULT($C16:$H16,Q$5:Q$10)</f>
        <v>1</v>
      </c>
      <c r="R16" s="21"/>
      <c r="S16" s="21"/>
      <c r="T16" s="4" t="s">
        <v>90</v>
      </c>
      <c r="U16" s="44">
        <v>2</v>
      </c>
      <c r="V16" s="44">
        <v>0</v>
      </c>
      <c r="W16" s="44">
        <v>0</v>
      </c>
      <c r="X16" s="44">
        <v>-1</v>
      </c>
      <c r="Y16" s="3" t="s">
        <v>16</v>
      </c>
      <c r="Z16" s="44" cm="1">
        <f t="array" ref="Z16">MMULT($U16:$X16,Z$5:Z$8)</f>
        <v>1</v>
      </c>
      <c r="AA16" s="44" cm="1">
        <f t="array" ref="AA16">MMULT($U16:$X16,AA$5:AA$8)</f>
        <v>0</v>
      </c>
      <c r="AB16" s="44" cm="1">
        <f t="array" ref="AB16">MMULT($U16:$X16,AB$5:AB$8)</f>
        <v>0</v>
      </c>
      <c r="AC16" s="44" cm="1">
        <f t="array" ref="AC16">MMULT($U16:$X16,AC$5:AC$8)</f>
        <v>-1</v>
      </c>
      <c r="AD16" s="44" cm="1">
        <f t="array" ref="AD16">MMULT($U16:$X16,AD$5:AD$8)</f>
        <v>1</v>
      </c>
      <c r="AE16" s="44" cm="1">
        <f t="array" ref="AE16">MMULT($U16:$X16,AE$5:AE$8)</f>
        <v>-3</v>
      </c>
      <c r="AF16" s="44" cm="1">
        <f t="array" ref="AF16">MMULT($U16:$X16,AF$5:AF$8)</f>
        <v>-2</v>
      </c>
      <c r="AG16" s="44" cm="1">
        <f t="array" ref="AG16">MMULT($U16:$X16,AG$5:AG$8)</f>
        <v>3</v>
      </c>
      <c r="AH16" s="3"/>
    </row>
    <row r="17" spans="1:34" ht="14" thickBot="1">
      <c r="A17" s="4"/>
      <c r="C17" s="22">
        <v>0</v>
      </c>
      <c r="D17" s="23">
        <v>0</v>
      </c>
      <c r="E17" s="23">
        <v>1</v>
      </c>
      <c r="F17" s="23">
        <v>0</v>
      </c>
      <c r="G17" s="23">
        <v>1</v>
      </c>
      <c r="H17" s="24">
        <v>1</v>
      </c>
      <c r="I17" s="3" t="s">
        <v>16</v>
      </c>
      <c r="J17" s="44" cm="1">
        <f t="array" ref="J17">MMULT($C17:$H17,J$5:J$10)</f>
        <v>3</v>
      </c>
      <c r="K17" s="44" cm="1">
        <f t="array" ref="K17">MMULT($C17:$H17,K$5:K$10)</f>
        <v>2</v>
      </c>
      <c r="L17" s="44" cm="1">
        <f t="array" ref="L17">MMULT($C17:$H17,L$5:L$10)</f>
        <v>2</v>
      </c>
      <c r="M17" s="44" cm="1">
        <f t="array" ref="M17">MMULT($C17:$H17,M$5:M$10)</f>
        <v>1</v>
      </c>
      <c r="N17" s="44" cm="1">
        <f t="array" ref="N17">MMULT($C17:$H17,N$5:N$10)</f>
        <v>1</v>
      </c>
      <c r="O17" s="44" cm="1">
        <f t="array" ref="O17">MMULT($C17:$H17,O$5:O$10)</f>
        <v>3</v>
      </c>
      <c r="P17" s="44" cm="1">
        <f t="array" ref="P17">MMULT($C17:$H17,P$5:P$10)</f>
        <v>2</v>
      </c>
      <c r="Q17" s="44" cm="1">
        <f t="array" ref="Q17">MMULT($C17:$H17,Q$5:Q$10)</f>
        <v>1</v>
      </c>
      <c r="R17" s="21"/>
      <c r="T17" s="4" t="s">
        <v>91</v>
      </c>
      <c r="U17" s="55">
        <v>1</v>
      </c>
      <c r="V17" s="55">
        <v>0</v>
      </c>
      <c r="W17" s="55">
        <v>0</v>
      </c>
      <c r="X17" s="55">
        <v>-1</v>
      </c>
      <c r="Y17" s="3" t="s">
        <v>16</v>
      </c>
      <c r="Z17" s="44" cm="1">
        <f t="array" ref="Z17">MMULT($U17:$X17,Z$5:Z$8)</f>
        <v>-1</v>
      </c>
      <c r="AA17" s="44" cm="1">
        <f t="array" ref="AA17">MMULT($U17:$X17,AA$5:AA$8)</f>
        <v>-1</v>
      </c>
      <c r="AB17" s="44" cm="1">
        <f t="array" ref="AB17">MMULT($U17:$X17,AB$5:AB$8)</f>
        <v>-1</v>
      </c>
      <c r="AC17" s="44" cm="1">
        <f t="array" ref="AC17">MMULT($U17:$X17,AC$5:AC$8)</f>
        <v>-1</v>
      </c>
      <c r="AD17" s="44" cm="1">
        <f t="array" ref="AD17">MMULT($U17:$X17,AD$5:AD$8)</f>
        <v>0</v>
      </c>
      <c r="AE17" s="44" cm="1">
        <f t="array" ref="AE17">MMULT($U17:$X17,AE$5:AE$8)</f>
        <v>-3</v>
      </c>
      <c r="AF17" s="44" cm="1">
        <f t="array" ref="AF17">MMULT($U17:$X17,AF$5:AF$8)</f>
        <v>-2</v>
      </c>
      <c r="AG17" s="44" cm="1">
        <f t="array" ref="AG17">MMULT($U17:$X17,AG$5:AG$8)</f>
        <v>1</v>
      </c>
      <c r="AH17" s="3"/>
    </row>
    <row r="18" spans="1:34" ht="13">
      <c r="R18" s="6"/>
      <c r="S18" s="6"/>
      <c r="T18" s="4" t="s">
        <v>92</v>
      </c>
      <c r="U18" s="54">
        <v>0</v>
      </c>
      <c r="V18" s="54">
        <v>0</v>
      </c>
      <c r="W18" s="54">
        <v>0</v>
      </c>
      <c r="X18" s="54">
        <v>1</v>
      </c>
      <c r="Y18" s="3" t="s">
        <v>16</v>
      </c>
      <c r="Z18" s="44" cm="1">
        <f t="array" ref="Z18">MMULT($U18:$X18,Z$5:Z$8)</f>
        <v>3</v>
      </c>
      <c r="AA18" s="44" cm="1">
        <f t="array" ref="AA18">MMULT($U18:$X18,AA$5:AA$8)</f>
        <v>2</v>
      </c>
      <c r="AB18" s="44" cm="1">
        <f t="array" ref="AB18">MMULT($U18:$X18,AB$5:AB$8)</f>
        <v>2</v>
      </c>
      <c r="AC18" s="44" cm="1">
        <f t="array" ref="AC18">MMULT($U18:$X18,AC$5:AC$8)</f>
        <v>1</v>
      </c>
      <c r="AD18" s="44" cm="1">
        <f t="array" ref="AD18">MMULT($U18:$X18,AD$5:AD$8)</f>
        <v>1</v>
      </c>
      <c r="AE18" s="44" cm="1">
        <f t="array" ref="AE18">MMULT($U18:$X18,AE$5:AE$8)</f>
        <v>3</v>
      </c>
      <c r="AF18" s="44" cm="1">
        <f t="array" ref="AF18">MMULT($U18:$X18,AF$5:AF$8)</f>
        <v>2</v>
      </c>
      <c r="AG18" s="44" cm="1">
        <f t="array" ref="AG18">MMULT($U18:$X18,AG$5:AG$8)</f>
        <v>1</v>
      </c>
      <c r="AH18" s="3"/>
    </row>
    <row r="19" spans="1:34" ht="13">
      <c r="V19" s="38"/>
      <c r="W19" s="38"/>
      <c r="Z19" s="48" t="s">
        <v>22</v>
      </c>
    </row>
    <row r="20" spans="1:34" ht="13">
      <c r="J20" s="13" t="s">
        <v>24</v>
      </c>
      <c r="S20" s="27" t="s">
        <v>25</v>
      </c>
      <c r="Z20" s="3" t="s">
        <v>14</v>
      </c>
      <c r="AA20" s="3" t="s">
        <v>14</v>
      </c>
      <c r="AB20" s="3" t="s">
        <v>14</v>
      </c>
      <c r="AC20" s="3" t="s">
        <v>14</v>
      </c>
      <c r="AD20" s="3" t="s">
        <v>14</v>
      </c>
      <c r="AE20" s="3" t="s">
        <v>14</v>
      </c>
      <c r="AF20" s="3" t="s">
        <v>14</v>
      </c>
      <c r="AG20" s="3" t="s">
        <v>14</v>
      </c>
    </row>
    <row r="21" spans="1:34" ht="14" thickBot="1">
      <c r="C21" s="1" t="s">
        <v>26</v>
      </c>
      <c r="J21" s="4" t="s">
        <v>15</v>
      </c>
      <c r="K21" s="4" t="s">
        <v>17</v>
      </c>
      <c r="L21" s="4" t="s">
        <v>19</v>
      </c>
      <c r="M21" s="4" t="s">
        <v>21</v>
      </c>
      <c r="N21" s="4" t="s">
        <v>89</v>
      </c>
      <c r="O21" s="4" t="s">
        <v>90</v>
      </c>
      <c r="P21" s="4" t="s">
        <v>91</v>
      </c>
      <c r="Q21" s="4" t="s">
        <v>92</v>
      </c>
      <c r="T21" s="4"/>
      <c r="U21" s="25" t="s">
        <v>23</v>
      </c>
      <c r="V21" s="62"/>
      <c r="W21" s="62"/>
      <c r="X21" s="62"/>
      <c r="Z21" s="44">
        <f t="shared" ref="Z21:AG28" si="2">Z11/SQRT(_dk)</f>
        <v>1.5</v>
      </c>
      <c r="AA21" s="44">
        <f t="shared" si="2"/>
        <v>1</v>
      </c>
      <c r="AB21" s="44">
        <f t="shared" si="2"/>
        <v>1</v>
      </c>
      <c r="AC21" s="44">
        <f t="shared" si="2"/>
        <v>0.5</v>
      </c>
      <c r="AD21" s="44">
        <f t="shared" si="2"/>
        <v>0.5</v>
      </c>
      <c r="AE21" s="44">
        <f t="shared" si="2"/>
        <v>1.5</v>
      </c>
      <c r="AF21" s="44">
        <f t="shared" si="2"/>
        <v>1</v>
      </c>
      <c r="AG21" s="44">
        <f t="shared" si="2"/>
        <v>0.5</v>
      </c>
    </row>
    <row r="22" spans="1:34" ht="13">
      <c r="C22" s="15">
        <v>0</v>
      </c>
      <c r="D22" s="16">
        <v>0</v>
      </c>
      <c r="E22" s="16">
        <v>1</v>
      </c>
      <c r="F22" s="16">
        <v>0</v>
      </c>
      <c r="G22" s="16">
        <v>0</v>
      </c>
      <c r="H22" s="17">
        <v>0</v>
      </c>
      <c r="I22" s="3" t="s">
        <v>16</v>
      </c>
      <c r="J22" s="44" cm="1">
        <f t="array" ref="J22">MMULT($C22:$H22,J$5:J$10)</f>
        <v>0</v>
      </c>
      <c r="K22" s="44" cm="1">
        <f t="array" ref="K22">MMULT($C22:$H22,K$5:K$10)</f>
        <v>2</v>
      </c>
      <c r="L22" s="44" cm="1">
        <f t="array" ref="L22">MMULT($C22:$H22,L$5:L$10)</f>
        <v>2</v>
      </c>
      <c r="M22" s="44" cm="1">
        <f t="array" ref="M22">MMULT($C22:$H22,M$5:M$10)</f>
        <v>0</v>
      </c>
      <c r="N22" s="44" cm="1">
        <f t="array" ref="N22">MMULT($C22:$H22,N$5:N$10)</f>
        <v>0</v>
      </c>
      <c r="O22" s="44" cm="1">
        <f t="array" ref="O22">MMULT($C22:$H22,O$5:O$10)</f>
        <v>2</v>
      </c>
      <c r="P22" s="44" cm="1">
        <f t="array" ref="P22">MMULT($C22:$H22,P$5:P$10)</f>
        <v>1</v>
      </c>
      <c r="Q22" s="44" cm="1">
        <f t="array" ref="Q22">MMULT($C22:$H22,Q$5:Q$10)</f>
        <v>0</v>
      </c>
      <c r="T22" s="4"/>
      <c r="U22" s="4" t="s">
        <v>27</v>
      </c>
      <c r="Z22" s="44">
        <f t="shared" si="2"/>
        <v>2</v>
      </c>
      <c r="AA22" s="44">
        <f t="shared" si="2"/>
        <v>2</v>
      </c>
      <c r="AB22" s="44">
        <f t="shared" si="2"/>
        <v>2</v>
      </c>
      <c r="AC22" s="44">
        <f t="shared" si="2"/>
        <v>2</v>
      </c>
      <c r="AD22" s="44">
        <f t="shared" si="2"/>
        <v>2</v>
      </c>
      <c r="AE22" s="44">
        <f t="shared" si="2"/>
        <v>0</v>
      </c>
      <c r="AF22" s="44">
        <f t="shared" si="2"/>
        <v>1</v>
      </c>
      <c r="AG22" s="44">
        <f t="shared" si="2"/>
        <v>3</v>
      </c>
    </row>
    <row r="23" spans="1:34" ht="13">
      <c r="C23" s="18">
        <v>0</v>
      </c>
      <c r="D23" s="19">
        <v>1</v>
      </c>
      <c r="E23" s="19">
        <v>0</v>
      </c>
      <c r="F23" s="19">
        <v>0</v>
      </c>
      <c r="G23" s="19">
        <v>0</v>
      </c>
      <c r="H23" s="20">
        <v>0</v>
      </c>
      <c r="I23" s="3" t="s">
        <v>16</v>
      </c>
      <c r="J23" s="44" cm="1">
        <f t="array" ref="J23">MMULT($C23:$H23,J$5:J$10)</f>
        <v>0</v>
      </c>
      <c r="K23" s="44" cm="1">
        <f t="array" ref="K23">MMULT($C23:$H23,K$5:K$10)</f>
        <v>1</v>
      </c>
      <c r="L23" s="44" cm="1">
        <f t="array" ref="L23">MMULT($C23:$H23,L$5:L$10)</f>
        <v>1</v>
      </c>
      <c r="M23" s="44" cm="1">
        <f t="array" ref="M23">MMULT($C23:$H23,M$5:M$10)</f>
        <v>0</v>
      </c>
      <c r="N23" s="44" cm="1">
        <f t="array" ref="N23">MMULT($C23:$H23,N$5:N$10)</f>
        <v>1</v>
      </c>
      <c r="O23" s="44" cm="1">
        <f t="array" ref="O23">MMULT($C23:$H23,O$5:O$10)</f>
        <v>0</v>
      </c>
      <c r="P23" s="44" cm="1">
        <f t="array" ref="P23">MMULT($C23:$H23,P$5:P$10)</f>
        <v>0</v>
      </c>
      <c r="Q23" s="44" cm="1">
        <f t="array" ref="Q23">MMULT($C23:$H23,Q$5:Q$10)</f>
        <v>0</v>
      </c>
      <c r="T23" s="4"/>
      <c r="Z23" s="44">
        <f t="shared" si="2"/>
        <v>2</v>
      </c>
      <c r="AA23" s="44">
        <f t="shared" si="2"/>
        <v>2</v>
      </c>
      <c r="AB23" s="44">
        <f t="shared" si="2"/>
        <v>2</v>
      </c>
      <c r="AC23" s="44">
        <f t="shared" si="2"/>
        <v>2</v>
      </c>
      <c r="AD23" s="44">
        <f t="shared" si="2"/>
        <v>2</v>
      </c>
      <c r="AE23" s="44">
        <f t="shared" si="2"/>
        <v>0</v>
      </c>
      <c r="AF23" s="44">
        <f t="shared" si="2"/>
        <v>1</v>
      </c>
      <c r="AG23" s="44">
        <f t="shared" si="2"/>
        <v>3</v>
      </c>
    </row>
    <row r="24" spans="1:34" ht="13">
      <c r="C24" s="18">
        <v>0</v>
      </c>
      <c r="D24" s="19">
        <v>1</v>
      </c>
      <c r="E24" s="19">
        <v>0</v>
      </c>
      <c r="F24" s="19">
        <v>0</v>
      </c>
      <c r="G24" s="19">
        <v>0</v>
      </c>
      <c r="H24" s="20">
        <v>0</v>
      </c>
      <c r="I24" s="3" t="s">
        <v>16</v>
      </c>
      <c r="J24" s="44" cm="1">
        <f t="array" ref="J24">MMULT($C24:$H24,J$5:J$10)</f>
        <v>0</v>
      </c>
      <c r="K24" s="44" cm="1">
        <f t="array" ref="K24">MMULT($C24:$H24,K$5:K$10)</f>
        <v>1</v>
      </c>
      <c r="L24" s="44" cm="1">
        <f t="array" ref="L24">MMULT($C24:$H24,L$5:L$10)</f>
        <v>1</v>
      </c>
      <c r="M24" s="44" cm="1">
        <f t="array" ref="M24">MMULT($C24:$H24,M$5:M$10)</f>
        <v>0</v>
      </c>
      <c r="N24" s="44" cm="1">
        <f t="array" ref="N24">MMULT($C24:$H24,N$5:N$10)</f>
        <v>1</v>
      </c>
      <c r="O24" s="44" cm="1">
        <f t="array" ref="O24">MMULT($C24:$H24,O$5:O$10)</f>
        <v>0</v>
      </c>
      <c r="P24" s="44" cm="1">
        <f t="array" ref="P24">MMULT($C24:$H24,P$5:P$10)</f>
        <v>0</v>
      </c>
      <c r="Q24" s="44" cm="1">
        <f t="array" ref="Q24">MMULT($C24:$H24,Q$5:Q$10)</f>
        <v>0</v>
      </c>
      <c r="T24" s="4"/>
      <c r="Z24" s="44">
        <f t="shared" si="2"/>
        <v>0</v>
      </c>
      <c r="AA24" s="44">
        <f t="shared" si="2"/>
        <v>0</v>
      </c>
      <c r="AB24" s="44">
        <f t="shared" si="2"/>
        <v>0</v>
      </c>
      <c r="AC24" s="44">
        <f t="shared" si="2"/>
        <v>0</v>
      </c>
      <c r="AD24" s="44">
        <f t="shared" si="2"/>
        <v>0</v>
      </c>
      <c r="AE24" s="44">
        <f t="shared" si="2"/>
        <v>0</v>
      </c>
      <c r="AF24" s="44">
        <f t="shared" si="2"/>
        <v>0</v>
      </c>
      <c r="AG24" s="44">
        <f t="shared" si="2"/>
        <v>0</v>
      </c>
    </row>
    <row r="25" spans="1:34" ht="14" thickBot="1">
      <c r="C25" s="22">
        <v>1</v>
      </c>
      <c r="D25" s="23">
        <v>0</v>
      </c>
      <c r="E25" s="23">
        <v>0</v>
      </c>
      <c r="F25" s="23">
        <v>0</v>
      </c>
      <c r="G25" s="23">
        <v>0</v>
      </c>
      <c r="H25" s="24">
        <v>-1</v>
      </c>
      <c r="I25" s="3" t="s">
        <v>16</v>
      </c>
      <c r="J25" s="44" cm="1">
        <f t="array" ref="J25">MMULT($C25:$H25,J$5:J$10)</f>
        <v>1</v>
      </c>
      <c r="K25" s="44" cm="1">
        <f t="array" ref="K25">MMULT($C25:$H25,K$5:K$10)</f>
        <v>0</v>
      </c>
      <c r="L25" s="44" cm="1">
        <f t="array" ref="L25">MMULT($C25:$H25,L$5:L$10)</f>
        <v>0</v>
      </c>
      <c r="M25" s="44" cm="1">
        <f t="array" ref="M25">MMULT($C25:$H25,M$5:M$10)</f>
        <v>0</v>
      </c>
      <c r="N25" s="44" cm="1">
        <f t="array" ref="N25">MMULT($C25:$H25,N$5:N$10)</f>
        <v>0</v>
      </c>
      <c r="O25" s="44" cm="1">
        <f t="array" ref="O25">MMULT($C25:$H25,O$5:O$10)</f>
        <v>-1</v>
      </c>
      <c r="P25" s="44" cm="1">
        <f t="array" ref="P25">MMULT($C25:$H25,P$5:P$10)</f>
        <v>-1</v>
      </c>
      <c r="Q25" s="44" cm="1">
        <f t="array" ref="Q25">MMULT($C25:$H25,Q$5:Q$10)</f>
        <v>1</v>
      </c>
      <c r="T25" s="4"/>
      <c r="Z25" s="44">
        <f t="shared" si="2"/>
        <v>0</v>
      </c>
      <c r="AA25" s="44">
        <f t="shared" si="2"/>
        <v>1</v>
      </c>
      <c r="AB25" s="44">
        <f t="shared" si="2"/>
        <v>1</v>
      </c>
      <c r="AC25" s="44">
        <f t="shared" si="2"/>
        <v>2</v>
      </c>
      <c r="AD25" s="44">
        <f t="shared" si="2"/>
        <v>1</v>
      </c>
      <c r="AE25" s="44">
        <f t="shared" si="2"/>
        <v>0</v>
      </c>
      <c r="AF25" s="44">
        <f t="shared" si="2"/>
        <v>1</v>
      </c>
      <c r="AG25" s="44">
        <f t="shared" si="2"/>
        <v>1</v>
      </c>
    </row>
    <row r="26" spans="1:34" ht="13">
      <c r="T26" s="31"/>
      <c r="Z26" s="44">
        <f t="shared" si="2"/>
        <v>0.5</v>
      </c>
      <c r="AA26" s="44">
        <f t="shared" si="2"/>
        <v>0</v>
      </c>
      <c r="AB26" s="44">
        <f t="shared" si="2"/>
        <v>0</v>
      </c>
      <c r="AC26" s="44">
        <f t="shared" si="2"/>
        <v>-0.5</v>
      </c>
      <c r="AD26" s="44">
        <f t="shared" si="2"/>
        <v>0.5</v>
      </c>
      <c r="AE26" s="44">
        <f t="shared" si="2"/>
        <v>-1.5</v>
      </c>
      <c r="AF26" s="44">
        <f t="shared" si="2"/>
        <v>-1</v>
      </c>
      <c r="AG26" s="44">
        <f t="shared" si="2"/>
        <v>1.5</v>
      </c>
    </row>
    <row r="27" spans="1:34" ht="13">
      <c r="T27" s="4"/>
      <c r="Z27" s="44">
        <f t="shared" si="2"/>
        <v>-0.5</v>
      </c>
      <c r="AA27" s="44">
        <f t="shared" si="2"/>
        <v>-0.5</v>
      </c>
      <c r="AB27" s="44">
        <f t="shared" si="2"/>
        <v>-0.5</v>
      </c>
      <c r="AC27" s="44">
        <f t="shared" si="2"/>
        <v>-0.5</v>
      </c>
      <c r="AD27" s="44">
        <f t="shared" si="2"/>
        <v>0</v>
      </c>
      <c r="AE27" s="44">
        <f t="shared" si="2"/>
        <v>-1.5</v>
      </c>
      <c r="AF27" s="44">
        <f t="shared" si="2"/>
        <v>-1</v>
      </c>
      <c r="AG27" s="44">
        <f t="shared" si="2"/>
        <v>0.5</v>
      </c>
    </row>
    <row r="28" spans="1:34" ht="13">
      <c r="T28" s="31"/>
      <c r="Z28" s="44">
        <f t="shared" si="2"/>
        <v>1.5</v>
      </c>
      <c r="AA28" s="44">
        <f t="shared" si="2"/>
        <v>1</v>
      </c>
      <c r="AB28" s="44">
        <f t="shared" si="2"/>
        <v>1</v>
      </c>
      <c r="AC28" s="44">
        <f t="shared" si="2"/>
        <v>0.5</v>
      </c>
      <c r="AD28" s="44">
        <f t="shared" si="2"/>
        <v>0.5</v>
      </c>
      <c r="AE28" s="44">
        <f t="shared" si="2"/>
        <v>1.5</v>
      </c>
      <c r="AF28" s="44">
        <f t="shared" si="2"/>
        <v>1</v>
      </c>
      <c r="AG28" s="44">
        <f t="shared" si="2"/>
        <v>0.5</v>
      </c>
    </row>
    <row r="29" spans="1:34" ht="13">
      <c r="T29" s="31"/>
      <c r="Z29" s="3" t="s">
        <v>14</v>
      </c>
      <c r="AA29" s="3" t="s">
        <v>14</v>
      </c>
      <c r="AB29" s="3" t="s">
        <v>14</v>
      </c>
      <c r="AC29" s="3" t="s">
        <v>14</v>
      </c>
      <c r="AD29" s="3" t="s">
        <v>14</v>
      </c>
      <c r="AE29" s="3" t="s">
        <v>14</v>
      </c>
      <c r="AF29" s="3" t="s">
        <v>14</v>
      </c>
      <c r="AG29" s="3" t="s">
        <v>14</v>
      </c>
    </row>
    <row r="30" spans="1:34" ht="13">
      <c r="U30" s="51" t="s">
        <v>28</v>
      </c>
      <c r="V30" s="61"/>
      <c r="W30" s="61"/>
      <c r="X30" s="61"/>
      <c r="Z30" s="54">
        <f t="shared" ref="Z30:AG37" si="3">EXP(Z21)</f>
        <v>4.4816890703380645</v>
      </c>
      <c r="AA30" s="54">
        <f t="shared" si="3"/>
        <v>2.7182818284590451</v>
      </c>
      <c r="AB30" s="54">
        <f t="shared" si="3"/>
        <v>2.7182818284590451</v>
      </c>
      <c r="AC30" s="54">
        <f t="shared" si="3"/>
        <v>1.6487212707001282</v>
      </c>
      <c r="AD30" s="54">
        <f t="shared" si="3"/>
        <v>1.6487212707001282</v>
      </c>
      <c r="AE30" s="54">
        <f t="shared" si="3"/>
        <v>4.4816890703380645</v>
      </c>
      <c r="AF30" s="54">
        <f t="shared" si="3"/>
        <v>2.7182818284590451</v>
      </c>
      <c r="AG30" s="54">
        <f t="shared" si="3"/>
        <v>1.6487212707001282</v>
      </c>
    </row>
    <row r="31" spans="1:34" ht="13">
      <c r="U31" s="4" t="s">
        <v>29</v>
      </c>
      <c r="Z31" s="54">
        <f t="shared" si="3"/>
        <v>7.3890560989306504</v>
      </c>
      <c r="AA31" s="54">
        <f t="shared" si="3"/>
        <v>7.3890560989306504</v>
      </c>
      <c r="AB31" s="54">
        <f t="shared" si="3"/>
        <v>7.3890560989306504</v>
      </c>
      <c r="AC31" s="54">
        <f t="shared" si="3"/>
        <v>7.3890560989306504</v>
      </c>
      <c r="AD31" s="54">
        <f t="shared" si="3"/>
        <v>7.3890560989306504</v>
      </c>
      <c r="AE31" s="54">
        <f t="shared" si="3"/>
        <v>1</v>
      </c>
      <c r="AF31" s="54">
        <f t="shared" si="3"/>
        <v>2.7182818284590451</v>
      </c>
      <c r="AG31" s="54">
        <f t="shared" si="3"/>
        <v>20.085536923187668</v>
      </c>
    </row>
    <row r="32" spans="1:34" ht="13">
      <c r="U32" s="4" t="s">
        <v>30</v>
      </c>
      <c r="Y32" s="37"/>
      <c r="Z32" s="54">
        <f t="shared" si="3"/>
        <v>7.3890560989306504</v>
      </c>
      <c r="AA32" s="54">
        <f t="shared" si="3"/>
        <v>7.3890560989306504</v>
      </c>
      <c r="AB32" s="54">
        <f t="shared" si="3"/>
        <v>7.3890560989306504</v>
      </c>
      <c r="AC32" s="54">
        <f t="shared" si="3"/>
        <v>7.3890560989306504</v>
      </c>
      <c r="AD32" s="54">
        <f t="shared" si="3"/>
        <v>7.3890560989306504</v>
      </c>
      <c r="AE32" s="54">
        <f t="shared" si="3"/>
        <v>1</v>
      </c>
      <c r="AF32" s="54">
        <f t="shared" si="3"/>
        <v>2.7182818284590451</v>
      </c>
      <c r="AG32" s="54">
        <f t="shared" si="3"/>
        <v>20.085536923187668</v>
      </c>
    </row>
    <row r="33" spans="2:34" ht="13">
      <c r="Y33" s="37"/>
      <c r="Z33" s="54">
        <f t="shared" si="3"/>
        <v>1</v>
      </c>
      <c r="AA33" s="54">
        <f t="shared" si="3"/>
        <v>1</v>
      </c>
      <c r="AB33" s="54">
        <f t="shared" si="3"/>
        <v>1</v>
      </c>
      <c r="AC33" s="54">
        <f t="shared" si="3"/>
        <v>1</v>
      </c>
      <c r="AD33" s="54">
        <f t="shared" si="3"/>
        <v>1</v>
      </c>
      <c r="AE33" s="54">
        <f t="shared" si="3"/>
        <v>1</v>
      </c>
      <c r="AF33" s="54">
        <f t="shared" si="3"/>
        <v>1</v>
      </c>
      <c r="AG33" s="54">
        <f t="shared" si="3"/>
        <v>1</v>
      </c>
    </row>
    <row r="34" spans="2:34" ht="13">
      <c r="Z34" s="54">
        <f t="shared" si="3"/>
        <v>1</v>
      </c>
      <c r="AA34" s="54">
        <f t="shared" si="3"/>
        <v>2.7182818284590451</v>
      </c>
      <c r="AB34" s="54">
        <f t="shared" si="3"/>
        <v>2.7182818284590451</v>
      </c>
      <c r="AC34" s="54">
        <f t="shared" si="3"/>
        <v>7.3890560989306504</v>
      </c>
      <c r="AD34" s="54">
        <f t="shared" si="3"/>
        <v>2.7182818284590451</v>
      </c>
      <c r="AE34" s="54">
        <f t="shared" si="3"/>
        <v>1</v>
      </c>
      <c r="AF34" s="54">
        <f t="shared" si="3"/>
        <v>2.7182818284590451</v>
      </c>
      <c r="AG34" s="54">
        <f t="shared" si="3"/>
        <v>2.7182818284590451</v>
      </c>
    </row>
    <row r="35" spans="2:34" ht="13">
      <c r="Z35" s="54">
        <f t="shared" si="3"/>
        <v>1.6487212707001282</v>
      </c>
      <c r="AA35" s="54">
        <f t="shared" si="3"/>
        <v>1</v>
      </c>
      <c r="AB35" s="54">
        <f t="shared" si="3"/>
        <v>1</v>
      </c>
      <c r="AC35" s="54">
        <f t="shared" si="3"/>
        <v>0.60653065971263342</v>
      </c>
      <c r="AD35" s="54">
        <f t="shared" si="3"/>
        <v>1.6487212707001282</v>
      </c>
      <c r="AE35" s="54">
        <f t="shared" si="3"/>
        <v>0.22313016014842982</v>
      </c>
      <c r="AF35" s="54">
        <f t="shared" si="3"/>
        <v>0.36787944117144233</v>
      </c>
      <c r="AG35" s="54">
        <f t="shared" si="3"/>
        <v>4.4816890703380645</v>
      </c>
    </row>
    <row r="36" spans="2:34" ht="13">
      <c r="Z36" s="54">
        <f t="shared" si="3"/>
        <v>0.60653065971263342</v>
      </c>
      <c r="AA36" s="54">
        <f t="shared" si="3"/>
        <v>0.60653065971263342</v>
      </c>
      <c r="AB36" s="54">
        <f t="shared" si="3"/>
        <v>0.60653065971263342</v>
      </c>
      <c r="AC36" s="54">
        <f t="shared" si="3"/>
        <v>0.60653065971263342</v>
      </c>
      <c r="AD36" s="54">
        <f t="shared" si="3"/>
        <v>1</v>
      </c>
      <c r="AE36" s="54">
        <f t="shared" si="3"/>
        <v>0.22313016014842982</v>
      </c>
      <c r="AF36" s="54">
        <f t="shared" si="3"/>
        <v>0.36787944117144233</v>
      </c>
      <c r="AG36" s="54">
        <f t="shared" si="3"/>
        <v>1.6487212707001282</v>
      </c>
      <c r="AH36" s="48" t="s">
        <v>31</v>
      </c>
    </row>
    <row r="37" spans="2:34" ht="13">
      <c r="Z37" s="54">
        <f t="shared" si="3"/>
        <v>4.4816890703380645</v>
      </c>
      <c r="AA37" s="54">
        <f t="shared" si="3"/>
        <v>2.7182818284590451</v>
      </c>
      <c r="AB37" s="54">
        <f t="shared" si="3"/>
        <v>2.7182818284590451</v>
      </c>
      <c r="AC37" s="54">
        <f t="shared" si="3"/>
        <v>1.6487212707001282</v>
      </c>
      <c r="AD37" s="54">
        <f t="shared" si="3"/>
        <v>1.6487212707001282</v>
      </c>
      <c r="AE37" s="54">
        <f t="shared" si="3"/>
        <v>4.4816890703380645</v>
      </c>
      <c r="AF37" s="54">
        <f t="shared" si="3"/>
        <v>2.7182818284590451</v>
      </c>
      <c r="AG37" s="54">
        <f t="shared" si="3"/>
        <v>1.6487212707001282</v>
      </c>
      <c r="AH37" s="48" t="s">
        <v>33</v>
      </c>
    </row>
    <row r="38" spans="2:34" ht="13">
      <c r="Y38" s="37"/>
      <c r="Z38" s="58" t="s">
        <v>33</v>
      </c>
      <c r="AA38" s="58" t="s">
        <v>33</v>
      </c>
      <c r="AB38" s="58" t="s">
        <v>33</v>
      </c>
      <c r="AC38" s="58" t="s">
        <v>33</v>
      </c>
      <c r="AD38" s="58" t="s">
        <v>33</v>
      </c>
      <c r="AE38" s="58" t="s">
        <v>33</v>
      </c>
      <c r="AF38" s="58" t="s">
        <v>33</v>
      </c>
      <c r="AG38" s="58" t="s">
        <v>33</v>
      </c>
      <c r="AH38" s="48" t="s">
        <v>35</v>
      </c>
    </row>
    <row r="39" spans="2:34" ht="14">
      <c r="R39" s="3"/>
      <c r="W39" s="29"/>
      <c r="Z39" s="54">
        <f>SUM(Z30:Z37)</f>
        <v>27.996742268950193</v>
      </c>
      <c r="AA39" s="54">
        <f t="shared" ref="AA39:AG39" si="4">SUM(AA30:AA37)</f>
        <v>25.539488342951067</v>
      </c>
      <c r="AB39" s="54">
        <f t="shared" si="4"/>
        <v>25.539488342951067</v>
      </c>
      <c r="AC39" s="54">
        <f t="shared" si="4"/>
        <v>27.677672157617472</v>
      </c>
      <c r="AD39" s="54">
        <f t="shared" si="4"/>
        <v>24.442557838420729</v>
      </c>
      <c r="AE39" s="54">
        <f t="shared" si="4"/>
        <v>13.409638460972985</v>
      </c>
      <c r="AF39" s="54">
        <f t="shared" si="4"/>
        <v>15.327168024638111</v>
      </c>
      <c r="AG39" s="54">
        <f t="shared" si="4"/>
        <v>53.317208557272835</v>
      </c>
    </row>
    <row r="40" spans="2:34" ht="13">
      <c r="R40" s="3"/>
    </row>
    <row r="41" spans="2:34" ht="13">
      <c r="B41" s="1"/>
      <c r="R41" s="3"/>
      <c r="S41" s="3"/>
      <c r="T41" s="3"/>
      <c r="U41" s="3"/>
      <c r="V41" s="3"/>
      <c r="W41" s="3"/>
      <c r="Z41" s="48" t="s">
        <v>36</v>
      </c>
    </row>
    <row r="42" spans="2:34" ht="13">
      <c r="R42" s="3"/>
      <c r="S42" s="3"/>
      <c r="T42" s="3"/>
      <c r="U42" s="3"/>
      <c r="V42" s="3"/>
      <c r="W42" s="3"/>
      <c r="Z42" s="3" t="s">
        <v>14</v>
      </c>
      <c r="AA42" s="3" t="s">
        <v>14</v>
      </c>
      <c r="AB42" s="3" t="s">
        <v>14</v>
      </c>
      <c r="AC42" s="3" t="s">
        <v>14</v>
      </c>
      <c r="AD42" s="3" t="s">
        <v>14</v>
      </c>
      <c r="AE42" s="3" t="s">
        <v>14</v>
      </c>
      <c r="AF42" s="3" t="s">
        <v>14</v>
      </c>
      <c r="AG42" s="3" t="s">
        <v>14</v>
      </c>
    </row>
    <row r="43" spans="2:34" ht="13">
      <c r="R43" s="3"/>
      <c r="S43" s="3"/>
      <c r="T43" s="3"/>
      <c r="U43" s="3"/>
      <c r="V43" s="3"/>
      <c r="W43" s="3"/>
      <c r="Z43" s="59">
        <f t="shared" ref="Z43:AG50" si="5">Z30/Z$39</f>
        <v>0.16007894873213463</v>
      </c>
      <c r="AA43" s="59">
        <f t="shared" si="5"/>
        <v>0.1064344669696288</v>
      </c>
      <c r="AB43" s="59">
        <f t="shared" si="5"/>
        <v>0.1064344669696288</v>
      </c>
      <c r="AC43" s="59">
        <f t="shared" si="5"/>
        <v>5.9568639346223549E-2</v>
      </c>
      <c r="AD43" s="59">
        <f t="shared" si="5"/>
        <v>6.7452894316508027E-2</v>
      </c>
      <c r="AE43" s="59">
        <f t="shared" si="5"/>
        <v>0.33421401206165546</v>
      </c>
      <c r="AF43" s="59">
        <f t="shared" si="5"/>
        <v>0.17735055974394373</v>
      </c>
      <c r="AG43" s="59">
        <f t="shared" si="5"/>
        <v>3.0922873033180039E-2</v>
      </c>
      <c r="AH43" s="34" t="s">
        <v>37</v>
      </c>
    </row>
    <row r="44" spans="2:34" ht="13">
      <c r="R44" s="3"/>
      <c r="S44" s="3"/>
      <c r="T44" s="3"/>
      <c r="U44" s="3"/>
      <c r="V44" s="3"/>
      <c r="W44" s="3"/>
      <c r="Z44" s="59">
        <f t="shared" si="5"/>
        <v>0.26392556776598569</v>
      </c>
      <c r="AA44" s="59">
        <f t="shared" si="5"/>
        <v>0.28931887748526647</v>
      </c>
      <c r="AB44" s="59">
        <f t="shared" si="5"/>
        <v>0.28931887748526647</v>
      </c>
      <c r="AC44" s="59">
        <f t="shared" si="5"/>
        <v>0.26696811989288011</v>
      </c>
      <c r="AD44" s="59">
        <f t="shared" si="5"/>
        <v>0.3023028992209626</v>
      </c>
      <c r="AE44" s="59">
        <f t="shared" si="5"/>
        <v>7.4573226035166446E-2</v>
      </c>
      <c r="AF44" s="59">
        <f t="shared" si="5"/>
        <v>0.17735055974394373</v>
      </c>
      <c r="AG44" s="59">
        <f t="shared" si="5"/>
        <v>0.37671771397431614</v>
      </c>
      <c r="AH44" s="34" t="s">
        <v>38</v>
      </c>
    </row>
    <row r="45" spans="2:34" ht="13">
      <c r="R45" s="3"/>
      <c r="S45" s="3"/>
      <c r="T45" s="3"/>
      <c r="U45" s="3"/>
      <c r="V45" s="3"/>
      <c r="W45" s="3"/>
      <c r="Z45" s="59">
        <f t="shared" si="5"/>
        <v>0.26392556776598569</v>
      </c>
      <c r="AA45" s="59">
        <f t="shared" si="5"/>
        <v>0.28931887748526647</v>
      </c>
      <c r="AB45" s="59">
        <f t="shared" si="5"/>
        <v>0.28931887748526647</v>
      </c>
      <c r="AC45" s="59">
        <f t="shared" si="5"/>
        <v>0.26696811989288011</v>
      </c>
      <c r="AD45" s="59">
        <f t="shared" si="5"/>
        <v>0.3023028992209626</v>
      </c>
      <c r="AE45" s="59">
        <f t="shared" si="5"/>
        <v>7.4573226035166446E-2</v>
      </c>
      <c r="AF45" s="59">
        <f t="shared" si="5"/>
        <v>0.17735055974394373</v>
      </c>
      <c r="AG45" s="59">
        <f t="shared" si="5"/>
        <v>0.37671771397431614</v>
      </c>
      <c r="AH45" s="34" t="s">
        <v>39</v>
      </c>
    </row>
    <row r="46" spans="2:34" ht="13">
      <c r="R46" s="3"/>
      <c r="S46" s="3"/>
      <c r="T46" s="3"/>
      <c r="U46" s="3"/>
      <c r="V46" s="3"/>
      <c r="Z46" s="59">
        <f t="shared" si="5"/>
        <v>3.5718441466993489E-2</v>
      </c>
      <c r="AA46" s="59">
        <f t="shared" si="5"/>
        <v>3.9155052230167381E-2</v>
      </c>
      <c r="AB46" s="59">
        <f t="shared" si="5"/>
        <v>3.9155052230167381E-2</v>
      </c>
      <c r="AC46" s="59">
        <f t="shared" si="5"/>
        <v>3.6130206120848898E-2</v>
      </c>
      <c r="AD46" s="59">
        <f t="shared" si="5"/>
        <v>4.0912248489318154E-2</v>
      </c>
      <c r="AE46" s="59">
        <f t="shared" si="5"/>
        <v>7.4573226035166446E-2</v>
      </c>
      <c r="AF46" s="59">
        <f t="shared" si="5"/>
        <v>6.5243624810044518E-2</v>
      </c>
      <c r="AG46" s="59">
        <f t="shared" si="5"/>
        <v>1.8755670581024692E-2</v>
      </c>
    </row>
    <row r="47" spans="2:34" ht="13">
      <c r="Z47" s="59">
        <f t="shared" si="5"/>
        <v>3.5718441466993489E-2</v>
      </c>
      <c r="AA47" s="59">
        <f t="shared" si="5"/>
        <v>0.1064344669696288</v>
      </c>
      <c r="AB47" s="59">
        <f t="shared" si="5"/>
        <v>0.1064344669696288</v>
      </c>
      <c r="AC47" s="59">
        <f t="shared" si="5"/>
        <v>0.26696811989288011</v>
      </c>
      <c r="AD47" s="59">
        <f t="shared" si="5"/>
        <v>0.11121102162991454</v>
      </c>
      <c r="AE47" s="59">
        <f t="shared" si="5"/>
        <v>7.4573226035166446E-2</v>
      </c>
      <c r="AF47" s="59">
        <f t="shared" si="5"/>
        <v>0.17735055974394373</v>
      </c>
      <c r="AG47" s="59">
        <f t="shared" si="5"/>
        <v>5.0983198520963315E-2</v>
      </c>
    </row>
    <row r="48" spans="2:34" ht="13">
      <c r="Z48" s="59">
        <f t="shared" si="5"/>
        <v>5.8889754202889659E-2</v>
      </c>
      <c r="AA48" s="59">
        <f t="shared" si="5"/>
        <v>3.9155052230167381E-2</v>
      </c>
      <c r="AB48" s="59">
        <f t="shared" si="5"/>
        <v>3.9155052230167381E-2</v>
      </c>
      <c r="AC48" s="59">
        <f t="shared" si="5"/>
        <v>2.191407775403191E-2</v>
      </c>
      <c r="AD48" s="59">
        <f t="shared" si="5"/>
        <v>6.7452894316508027E-2</v>
      </c>
      <c r="AE48" s="59">
        <f t="shared" si="5"/>
        <v>1.6639535868011746E-2</v>
      </c>
      <c r="AF48" s="59">
        <f t="shared" si="5"/>
        <v>2.4001788235118428E-2</v>
      </c>
      <c r="AG48" s="59">
        <f t="shared" si="5"/>
        <v>8.4057083849839537E-2</v>
      </c>
    </row>
    <row r="49" spans="1:34" ht="13">
      <c r="Z49" s="59">
        <f t="shared" si="5"/>
        <v>2.1664329866882645E-2</v>
      </c>
      <c r="AA49" s="59">
        <f t="shared" si="5"/>
        <v>2.374873966024604E-2</v>
      </c>
      <c r="AB49" s="59">
        <f t="shared" si="5"/>
        <v>2.374873966024604E-2</v>
      </c>
      <c r="AC49" s="59">
        <f t="shared" si="5"/>
        <v>2.191407775403191E-2</v>
      </c>
      <c r="AD49" s="59">
        <f t="shared" si="5"/>
        <v>4.0912248489318154E-2</v>
      </c>
      <c r="AE49" s="59">
        <f t="shared" si="5"/>
        <v>1.6639535868011746E-2</v>
      </c>
      <c r="AF49" s="59">
        <f t="shared" si="5"/>
        <v>2.4001788235118428E-2</v>
      </c>
      <c r="AG49" s="59">
        <f t="shared" si="5"/>
        <v>3.0922873033180039E-2</v>
      </c>
    </row>
    <row r="50" spans="1:34" ht="13">
      <c r="Z50" s="59">
        <f t="shared" si="5"/>
        <v>0.16007894873213463</v>
      </c>
      <c r="AA50" s="59">
        <f t="shared" si="5"/>
        <v>0.1064344669696288</v>
      </c>
      <c r="AB50" s="59">
        <f t="shared" si="5"/>
        <v>0.1064344669696288</v>
      </c>
      <c r="AC50" s="59">
        <f t="shared" si="5"/>
        <v>5.9568639346223549E-2</v>
      </c>
      <c r="AD50" s="59">
        <f t="shared" si="5"/>
        <v>6.7452894316508027E-2</v>
      </c>
      <c r="AE50" s="59">
        <f t="shared" si="5"/>
        <v>0.33421401206165546</v>
      </c>
      <c r="AF50" s="59">
        <f t="shared" si="5"/>
        <v>0.17735055974394373</v>
      </c>
      <c r="AG50" s="59">
        <f t="shared" si="5"/>
        <v>3.0922873033180039E-2</v>
      </c>
    </row>
    <row r="51" spans="1:34" ht="13">
      <c r="A51" s="35"/>
      <c r="Z51" s="3" t="s">
        <v>14</v>
      </c>
      <c r="AA51" s="3" t="s">
        <v>14</v>
      </c>
      <c r="AB51" s="3" t="s">
        <v>14</v>
      </c>
      <c r="AC51" s="3" t="s">
        <v>14</v>
      </c>
      <c r="AD51" s="3" t="s">
        <v>14</v>
      </c>
      <c r="AE51" s="3" t="s">
        <v>14</v>
      </c>
      <c r="AF51" s="3" t="s">
        <v>14</v>
      </c>
      <c r="AG51" s="3" t="s">
        <v>14</v>
      </c>
    </row>
    <row r="52" spans="1:34" ht="13">
      <c r="A52" s="35"/>
      <c r="C52" s="3"/>
      <c r="D52" s="3"/>
      <c r="E52" s="3"/>
      <c r="F52" s="3"/>
      <c r="G52" s="3"/>
      <c r="H52" s="3"/>
      <c r="I52" s="3"/>
      <c r="J52" s="13" t="s">
        <v>40</v>
      </c>
      <c r="K52" s="49" t="s">
        <v>41</v>
      </c>
      <c r="L52" s="49"/>
      <c r="M52" s="49"/>
      <c r="N52" s="49"/>
      <c r="O52" s="49"/>
      <c r="U52" s="10" t="s">
        <v>42</v>
      </c>
      <c r="V52" s="12"/>
      <c r="W52" s="12"/>
      <c r="X52" s="12"/>
      <c r="Z52" s="48" t="s">
        <v>43</v>
      </c>
    </row>
    <row r="53" spans="1:34" ht="14" thickBot="1">
      <c r="C53" s="1" t="s">
        <v>44</v>
      </c>
      <c r="D53" s="3"/>
      <c r="E53" s="3"/>
      <c r="F53" s="3"/>
      <c r="G53" s="3"/>
      <c r="H53" s="3"/>
      <c r="I53" s="3"/>
      <c r="J53" s="4" t="s">
        <v>45</v>
      </c>
      <c r="K53" s="4" t="s">
        <v>46</v>
      </c>
      <c r="L53" s="4" t="s">
        <v>47</v>
      </c>
      <c r="M53" s="4" t="s">
        <v>48</v>
      </c>
      <c r="N53" s="4" t="s">
        <v>93</v>
      </c>
      <c r="O53" s="4" t="s">
        <v>94</v>
      </c>
      <c r="P53" s="4" t="s">
        <v>95</v>
      </c>
      <c r="Q53" s="4" t="s">
        <v>96</v>
      </c>
      <c r="Z53" s="4" t="s">
        <v>49</v>
      </c>
      <c r="AA53" s="4" t="s">
        <v>50</v>
      </c>
      <c r="AB53" s="4" t="s">
        <v>51</v>
      </c>
      <c r="AC53" s="4" t="s">
        <v>52</v>
      </c>
      <c r="AD53" s="4" t="s">
        <v>97</v>
      </c>
      <c r="AE53" s="4" t="s">
        <v>81</v>
      </c>
      <c r="AF53" s="4" t="s">
        <v>98</v>
      </c>
      <c r="AG53" s="4" t="s">
        <v>99</v>
      </c>
    </row>
    <row r="54" spans="1:34" ht="13">
      <c r="C54" s="15">
        <v>10</v>
      </c>
      <c r="D54" s="16">
        <v>0</v>
      </c>
      <c r="E54" s="16">
        <v>0</v>
      </c>
      <c r="F54" s="16">
        <v>0</v>
      </c>
      <c r="G54" s="16">
        <v>0</v>
      </c>
      <c r="H54" s="17">
        <v>0</v>
      </c>
      <c r="I54" s="3" t="s">
        <v>16</v>
      </c>
      <c r="J54" s="44" cm="1">
        <f t="array" ref="J54">MMULT($C54:$H54,J$5:J$10)</f>
        <v>20</v>
      </c>
      <c r="K54" s="44" cm="1">
        <f t="array" ref="K54">MMULT($C54:$H54,K$5:K$10)</f>
        <v>0</v>
      </c>
      <c r="L54" s="44" cm="1">
        <f t="array" ref="L54">MMULT($C54:$H54,L$5:L$10)</f>
        <v>0</v>
      </c>
      <c r="M54" s="44" cm="1">
        <f t="array" ref="M54">MMULT($C54:$H54,M$5:M$10)</f>
        <v>0</v>
      </c>
      <c r="N54" s="44" cm="1">
        <f t="array" ref="N54">MMULT($C54:$H54,N$5:N$10)</f>
        <v>0</v>
      </c>
      <c r="O54" s="44" cm="1">
        <f t="array" ref="O54">MMULT($C54:$H54,O$5:O$10)</f>
        <v>0</v>
      </c>
      <c r="P54" s="44" cm="1">
        <f t="array" ref="P54">MMULT($C54:$H54,P$5:P$10)</f>
        <v>0</v>
      </c>
      <c r="Q54" s="44" cm="1">
        <f t="array" ref="Q54">MMULT($C54:$H54,Q$5:Q$10)</f>
        <v>20</v>
      </c>
      <c r="Y54" s="3" t="s">
        <v>16</v>
      </c>
      <c r="Z54" s="60" cm="1">
        <f t="array" ref="Z54">MMULT($J54:$Q54,Z$43:Z$50)</f>
        <v>6.4031579492853847</v>
      </c>
      <c r="AA54" s="60" cm="1">
        <f t="array" ref="AA54">MMULT($J54:$Q54,AA$43:AA$50)</f>
        <v>4.2573786787851517</v>
      </c>
      <c r="AB54" s="60" cm="1">
        <f t="array" ref="AB54">MMULT($J54:$Q54,AB$43:AB$50)</f>
        <v>4.2573786787851517</v>
      </c>
      <c r="AC54" s="60" cm="1">
        <f t="array" ref="AC54">MMULT($J54:$Q54,AC$43:AC$50)</f>
        <v>2.382745573848942</v>
      </c>
      <c r="AD54" s="60" cm="1">
        <f t="array" ref="AD54">MMULT($J54:$Q54,AD$43:AD$50)</f>
        <v>2.6981157726603211</v>
      </c>
      <c r="AE54" s="60" cm="1">
        <f t="array" ref="AE54">MMULT($J54:$Q54,AE$43:AE$50)</f>
        <v>13.368560482466219</v>
      </c>
      <c r="AF54" s="60" cm="1">
        <f t="array" ref="AF54">MMULT($J54:$Q54,AF$43:AF$50)</f>
        <v>7.0940223897577495</v>
      </c>
      <c r="AG54" s="60" cm="1">
        <f t="array" ref="AG54">MMULT($J54:$Q54,AG$43:AG$50)</f>
        <v>1.2369149213272015</v>
      </c>
      <c r="AH54" s="4" t="s">
        <v>37</v>
      </c>
    </row>
    <row r="55" spans="1:34" ht="13">
      <c r="C55" s="18">
        <v>0</v>
      </c>
      <c r="D55" s="19">
        <v>10</v>
      </c>
      <c r="E55" s="19">
        <v>0</v>
      </c>
      <c r="F55" s="19">
        <v>10</v>
      </c>
      <c r="G55" s="19">
        <v>0</v>
      </c>
      <c r="H55" s="20">
        <v>0</v>
      </c>
      <c r="I55" s="3" t="s">
        <v>16</v>
      </c>
      <c r="J55" s="44" cm="1">
        <f t="array" ref="J55">MMULT($C55:$H55,J$5:J$10)</f>
        <v>0</v>
      </c>
      <c r="K55" s="44" cm="1">
        <f t="array" ref="K55">MMULT($C55:$H55,K$5:K$10)</f>
        <v>10</v>
      </c>
      <c r="L55" s="44" cm="1">
        <f t="array" ref="L55">MMULT($C55:$H55,L$5:L$10)</f>
        <v>10</v>
      </c>
      <c r="M55" s="44" cm="1">
        <f t="array" ref="M55">MMULT($C55:$H55,M$5:M$10)</f>
        <v>20</v>
      </c>
      <c r="N55" s="44" cm="1">
        <f t="array" ref="N55">MMULT($C55:$H55,N$5:N$10)</f>
        <v>10</v>
      </c>
      <c r="O55" s="44" cm="1">
        <f t="array" ref="O55">MMULT($C55:$H55,O$5:O$10)</f>
        <v>0</v>
      </c>
      <c r="P55" s="44" cm="1">
        <f t="array" ref="P55">MMULT($C55:$H55,P$5:P$10)</f>
        <v>10</v>
      </c>
      <c r="Q55" s="44" cm="1">
        <f t="array" ref="Q55">MMULT($C55:$H55,Q$5:Q$10)</f>
        <v>10</v>
      </c>
      <c r="Y55" s="3" t="s">
        <v>16</v>
      </c>
      <c r="Z55" s="60" cm="1">
        <f t="array" ref="Z55">MMULT($J55:$Q55,Z$43:Z$50)</f>
        <v>8.1674973853196917</v>
      </c>
      <c r="AA55" s="60" cm="1">
        <f t="array" ref="AA55">MMULT($J55:$Q55,AA$43:AA$50)</f>
        <v>8.9356553303037138</v>
      </c>
      <c r="AB55" s="60" cm="1">
        <f t="array" ref="AB55">MMULT($J55:$Q55,AB$43:AB$50)</f>
        <v>8.9356553303037138</v>
      </c>
      <c r="AC55" s="60" cm="1">
        <f t="array" ref="AC55">MMULT($J55:$Q55,AC$43:AC$50)</f>
        <v>9.5464748902059373</v>
      </c>
      <c r="AD55" s="60" cm="1">
        <f t="array" ref="AD55">MMULT($J55:$Q55,AD$43:AD$50)</f>
        <v>9.0600645985630219</v>
      </c>
      <c r="AE55" s="60" cm="1">
        <f t="array" ref="AE55">MMULT($J55:$Q55,AE$43:AE$50)</f>
        <v>7.2371967810549949</v>
      </c>
      <c r="AF55" s="60" cm="1">
        <f t="array" ref="AF55">MMULT($J55:$Q55,AF$43:AF$50)</f>
        <v>8.6389127683098241</v>
      </c>
      <c r="AG55" s="60" cm="1">
        <f t="array" ref="AG55">MMULT($J55:$Q55,AG$43:AG$50)</f>
        <v>9.0377571369800478</v>
      </c>
      <c r="AH55" s="4" t="s">
        <v>54</v>
      </c>
    </row>
    <row r="56" spans="1:34" ht="13">
      <c r="C56" s="18">
        <v>0</v>
      </c>
      <c r="D56" s="19">
        <v>10</v>
      </c>
      <c r="E56" s="19">
        <v>5</v>
      </c>
      <c r="F56" s="19">
        <v>10</v>
      </c>
      <c r="G56" s="19">
        <v>0</v>
      </c>
      <c r="H56" s="20">
        <v>0</v>
      </c>
      <c r="I56" s="3" t="s">
        <v>16</v>
      </c>
      <c r="J56" s="44" cm="1">
        <f t="array" ref="J56">MMULT($C56:$H56,J$5:J$10)</f>
        <v>0</v>
      </c>
      <c r="K56" s="44" cm="1">
        <f t="array" ref="K56">MMULT($C56:$H56,K$5:K$10)</f>
        <v>20</v>
      </c>
      <c r="L56" s="44" cm="1">
        <f t="array" ref="L56">MMULT($C56:$H56,L$5:L$10)</f>
        <v>20</v>
      </c>
      <c r="M56" s="44" cm="1">
        <f t="array" ref="M56">MMULT($C56:$H56,M$5:M$10)</f>
        <v>20</v>
      </c>
      <c r="N56" s="44" cm="1">
        <f t="array" ref="N56">MMULT($C56:$H56,N$5:N$10)</f>
        <v>10</v>
      </c>
      <c r="O56" s="44" cm="1">
        <f t="array" ref="O56">MMULT($C56:$H56,O$5:O$10)</f>
        <v>10</v>
      </c>
      <c r="P56" s="44" cm="1">
        <f t="array" ref="P56">MMULT($C56:$H56,P$5:P$10)</f>
        <v>15</v>
      </c>
      <c r="Q56" s="44" cm="1">
        <f t="array" ref="Q56">MMULT($C56:$H56,Q$5:Q$10)</f>
        <v>10</v>
      </c>
      <c r="Y56" s="3" t="s">
        <v>16</v>
      </c>
      <c r="Z56" s="60" cm="1">
        <f t="array" ref="Z56">MMULT($J56:$Q56,Z$43:Z$50)</f>
        <v>14.143227932002715</v>
      </c>
      <c r="AA56" s="60" cm="1">
        <f t="array" ref="AA56">MMULT($J56:$Q56,AA$43:AA$50)</f>
        <v>15.232327100611947</v>
      </c>
      <c r="AB56" s="60" cm="1">
        <f t="array" ref="AB56">MMULT($J56:$Q56,AB$43:AB$50)</f>
        <v>15.232327100611947</v>
      </c>
      <c r="AC56" s="60" cm="1">
        <f t="array" ref="AC56">MMULT($J56:$Q56,AC$43:AC$50)</f>
        <v>15.214548454374018</v>
      </c>
      <c r="AD56" s="60" cm="1">
        <f t="array" ref="AD56">MMULT($J56:$Q56,AD$43:AD$50)</f>
        <v>15.985212768593946</v>
      </c>
      <c r="AE56" s="60" cm="1">
        <f t="array" ref="AE56">MMULT($J56:$Q56,AE$43:AE$50)</f>
        <v>8.9782543397785002</v>
      </c>
      <c r="AF56" s="60" cm="1">
        <f t="array" ref="AF56">MMULT($J56:$Q56,AF$43:AF$50)</f>
        <v>12.545950786715474</v>
      </c>
      <c r="AG56" s="60" cm="1">
        <f t="array" ref="AG56">MMULT($J56:$Q56,AG$43:AG$50)</f>
        <v>17.567296620130666</v>
      </c>
      <c r="AH56" s="4" t="s">
        <v>55</v>
      </c>
    </row>
    <row r="57" spans="1:34" ht="13">
      <c r="C57" s="18">
        <v>0</v>
      </c>
      <c r="D57" s="19">
        <v>0</v>
      </c>
      <c r="E57" s="19">
        <v>10</v>
      </c>
      <c r="F57" s="19">
        <v>10</v>
      </c>
      <c r="G57" s="19">
        <v>0</v>
      </c>
      <c r="H57" s="20">
        <v>0</v>
      </c>
      <c r="I57" s="3" t="s">
        <v>16</v>
      </c>
      <c r="J57" s="44" cm="1">
        <f t="array" ref="J57">MMULT($C57:$H57,J$5:J$10)</f>
        <v>0</v>
      </c>
      <c r="K57" s="44" cm="1">
        <f t="array" ref="K57">MMULT($C57:$H57,K$5:K$10)</f>
        <v>20</v>
      </c>
      <c r="L57" s="44" cm="1">
        <f t="array" ref="L57">MMULT($C57:$H57,L$5:L$10)</f>
        <v>20</v>
      </c>
      <c r="M57" s="44" cm="1">
        <f t="array" ref="M57">MMULT($C57:$H57,M$5:M$10)</f>
        <v>20</v>
      </c>
      <c r="N57" s="44" cm="1">
        <f t="array" ref="N57">MMULT($C57:$H57,N$5:N$10)</f>
        <v>0</v>
      </c>
      <c r="O57" s="44" cm="1">
        <f t="array" ref="O57">MMULT($C57:$H57,O$5:O$10)</f>
        <v>20</v>
      </c>
      <c r="P57" s="44" cm="1">
        <f t="array" ref="P57">MMULT($C57:$H57,P$5:P$10)</f>
        <v>20</v>
      </c>
      <c r="Q57" s="44" cm="1">
        <f t="array" ref="Q57">MMULT($C57:$H57,Q$5:Q$10)</f>
        <v>10</v>
      </c>
      <c r="Y57" s="3" t="s">
        <v>16</v>
      </c>
      <c r="Z57" s="60" cm="1">
        <f t="array" ref="Z57">MMULT($J57:$Q57,Z$43:Z$50)</f>
        <v>14.48326270869609</v>
      </c>
      <c r="AA57" s="60" cm="1">
        <f t="array" ref="AA57">MMULT($J57:$Q57,AA$43:AA$50)</f>
        <v>14.67827665151856</v>
      </c>
      <c r="AB57" s="60" cm="1">
        <f t="array" ref="AB57">MMULT($J57:$Q57,AB$43:AB$50)</f>
        <v>14.67827665151856</v>
      </c>
      <c r="AC57" s="60" cm="1">
        <f t="array" ref="AC57">MMULT($J57:$Q57,AC$43:AC$50)</f>
        <v>12.873578421755694</v>
      </c>
      <c r="AD57" s="60" cm="1">
        <f t="array" ref="AD57">MMULT($J57:$Q57,AD$43:AD$50)</f>
        <v>15.752192737906471</v>
      </c>
      <c r="AE57" s="60" cm="1">
        <f t="array" ref="AE57">MMULT($J57:$Q57,AE$43:AE$50)</f>
        <v>8.4821151174470124</v>
      </c>
      <c r="AF57" s="60" cm="1">
        <f t="array" ref="AF57">MMULT($J57:$Q57,AF$43:AF$50)</f>
        <v>11.132472012802813</v>
      </c>
      <c r="AG57" s="60" cm="1">
        <f t="array" ref="AG57">MMULT($J57:$Q57,AG$43:AG$50)</f>
        <v>18.052649838585328</v>
      </c>
    </row>
    <row r="58" spans="1:34" ht="13">
      <c r="C58" s="18">
        <v>0</v>
      </c>
      <c r="D58" s="19">
        <v>0</v>
      </c>
      <c r="E58" s="19">
        <v>0</v>
      </c>
      <c r="F58" s="19">
        <v>10</v>
      </c>
      <c r="G58" s="19">
        <v>0</v>
      </c>
      <c r="H58" s="20">
        <v>0</v>
      </c>
      <c r="I58" s="3" t="s">
        <v>16</v>
      </c>
      <c r="J58" s="44" cm="1">
        <f t="array" ref="J58">MMULT($C58:$H58,J$5:J$10)</f>
        <v>0</v>
      </c>
      <c r="K58" s="44" cm="1">
        <f t="array" ref="K58">MMULT($C58:$H58,K$5:K$10)</f>
        <v>0</v>
      </c>
      <c r="L58" s="44" cm="1">
        <f t="array" ref="L58">MMULT($C58:$H58,L$5:L$10)</f>
        <v>0</v>
      </c>
      <c r="M58" s="44" cm="1">
        <f t="array" ref="M58">MMULT($C58:$H58,M$5:M$10)</f>
        <v>20</v>
      </c>
      <c r="N58" s="44" cm="1">
        <f t="array" ref="N58">MMULT($C58:$H58,N$5:N$10)</f>
        <v>0</v>
      </c>
      <c r="O58" s="44" cm="1">
        <f t="array" ref="O58">MMULT($C58:$H58,O$5:O$10)</f>
        <v>0</v>
      </c>
      <c r="P58" s="44" cm="1">
        <f t="array" ref="P58">MMULT($C58:$H58,P$5:P$10)</f>
        <v>10</v>
      </c>
      <c r="Q58" s="44" cm="1">
        <f t="array" ref="Q58">MMULT($C58:$H58,Q$5:Q$10)</f>
        <v>10</v>
      </c>
      <c r="Y58" s="3" t="s">
        <v>16</v>
      </c>
      <c r="Z58" s="60" cm="1">
        <f t="array" ref="Z58">MMULT($J58:$Q58,Z$43:Z$50)</f>
        <v>2.5318016153300427</v>
      </c>
      <c r="AA58" s="60" cm="1">
        <f t="array" ref="AA58">MMULT($J58:$Q58,AA$43:AA$50)</f>
        <v>2.0849331109020959</v>
      </c>
      <c r="AB58" s="60" cm="1">
        <f t="array" ref="AB58">MMULT($J58:$Q58,AB$43:AB$50)</f>
        <v>2.0849331109020959</v>
      </c>
      <c r="AC58" s="60" cm="1">
        <f t="array" ref="AC58">MMULT($J58:$Q58,AC$43:AC$50)</f>
        <v>1.5374312934195324</v>
      </c>
      <c r="AD58" s="60" cm="1">
        <f t="array" ref="AD58">MMULT($J58:$Q58,AD$43:AD$50)</f>
        <v>1.9018963978446248</v>
      </c>
      <c r="AE58" s="60" cm="1">
        <f t="array" ref="AE58">MMULT($J58:$Q58,AE$43:AE$50)</f>
        <v>5.0000000000000009</v>
      </c>
      <c r="AF58" s="60" cm="1">
        <f t="array" ref="AF58">MMULT($J58:$Q58,AF$43:AF$50)</f>
        <v>3.3183959759915123</v>
      </c>
      <c r="AG58" s="60" cm="1">
        <f t="array" ref="AG58">MMULT($J58:$Q58,AG$43:AG$50)</f>
        <v>0.99357087228409458</v>
      </c>
    </row>
    <row r="59" spans="1:34" ht="14" thickBot="1">
      <c r="C59" s="22">
        <v>0</v>
      </c>
      <c r="D59" s="23">
        <v>10</v>
      </c>
      <c r="E59" s="23">
        <v>0</v>
      </c>
      <c r="F59" s="23">
        <v>0</v>
      </c>
      <c r="G59" s="23">
        <v>0</v>
      </c>
      <c r="H59" s="24">
        <v>0</v>
      </c>
      <c r="I59" s="3" t="s">
        <v>16</v>
      </c>
      <c r="J59" s="44" cm="1">
        <f t="array" ref="J59">MMULT($C59:$H59,J$5:J$10)</f>
        <v>0</v>
      </c>
      <c r="K59" s="44" cm="1">
        <f t="array" ref="K59">MMULT($C59:$H59,K$5:K$10)</f>
        <v>10</v>
      </c>
      <c r="L59" s="44" cm="1">
        <f t="array" ref="L59">MMULT($C59:$H59,L$5:L$10)</f>
        <v>10</v>
      </c>
      <c r="M59" s="44" cm="1">
        <f t="array" ref="M59">MMULT($C59:$H59,M$5:M$10)</f>
        <v>0</v>
      </c>
      <c r="N59" s="44" cm="1">
        <f t="array" ref="N59">MMULT($C59:$H59,N$5:N$10)</f>
        <v>10</v>
      </c>
      <c r="O59" s="44" cm="1">
        <f t="array" ref="O59">MMULT($C59:$H59,O$5:O$10)</f>
        <v>0</v>
      </c>
      <c r="P59" s="44" cm="1">
        <f t="array" ref="P59">MMULT($C59:$H59,P$5:P$10)</f>
        <v>0</v>
      </c>
      <c r="Q59" s="44" cm="1">
        <f t="array" ref="Q59">MMULT($C59:$H59,Q$5:Q$10)</f>
        <v>0</v>
      </c>
      <c r="Y59" s="3" t="s">
        <v>16</v>
      </c>
      <c r="Z59" s="60" cm="1">
        <f t="array" ref="Z59">MMULT($J59:$Q59,Z$43:Z$50)</f>
        <v>5.6356957699896491</v>
      </c>
      <c r="AA59" s="60" cm="1">
        <f t="array" ref="AA59">MMULT($J59:$Q59,AA$43:AA$50)</f>
        <v>6.8507222194016171</v>
      </c>
      <c r="AB59" s="60" cm="1">
        <f t="array" ref="AB59">MMULT($J59:$Q59,AB$43:AB$50)</f>
        <v>6.8507222194016171</v>
      </c>
      <c r="AC59" s="60" cm="1">
        <f t="array" ref="AC59">MMULT($J59:$Q59,AC$43:AC$50)</f>
        <v>8.0090435967864035</v>
      </c>
      <c r="AD59" s="60" cm="1">
        <f t="array" ref="AD59">MMULT($J59:$Q59,AD$43:AD$50)</f>
        <v>7.1581682007183973</v>
      </c>
      <c r="AE59" s="60" cm="1">
        <f t="array" ref="AE59">MMULT($J59:$Q59,AE$43:AE$50)</f>
        <v>2.2371967810549935</v>
      </c>
      <c r="AF59" s="60" cm="1">
        <f t="array" ref="AF59">MMULT($J59:$Q59,AF$43:AF$50)</f>
        <v>5.3205167923183119</v>
      </c>
      <c r="AG59" s="60" cm="1">
        <f t="array" ref="AG59">MMULT($J59:$Q59,AG$43:AG$50)</f>
        <v>8.0441862646959557</v>
      </c>
    </row>
    <row r="60" spans="1:34" ht="13">
      <c r="Z60" s="3" t="s">
        <v>14</v>
      </c>
      <c r="AA60" s="3" t="s">
        <v>14</v>
      </c>
      <c r="AB60" s="3" t="s">
        <v>14</v>
      </c>
      <c r="AC60" s="3" t="s">
        <v>14</v>
      </c>
      <c r="AD60" s="3" t="s">
        <v>14</v>
      </c>
      <c r="AE60" s="3" t="s">
        <v>14</v>
      </c>
      <c r="AF60" s="3" t="s">
        <v>14</v>
      </c>
      <c r="AG60" s="3" t="s">
        <v>14</v>
      </c>
    </row>
    <row r="61" spans="1:34" ht="13">
      <c r="Z61" s="37" t="s">
        <v>120</v>
      </c>
      <c r="AA61" s="3"/>
      <c r="AB61" s="3"/>
      <c r="AC61" s="3"/>
    </row>
    <row r="62" spans="1:34" ht="13">
      <c r="Z62" s="3"/>
      <c r="AA62" s="3"/>
      <c r="AB62" s="3"/>
      <c r="AC62" s="3"/>
    </row>
    <row r="63" spans="1:34" ht="13">
      <c r="Z63" s="3"/>
      <c r="AA63" s="3"/>
      <c r="AB63" s="3"/>
      <c r="AC63" s="3"/>
    </row>
    <row r="64" spans="1:34" ht="13">
      <c r="Z64" s="3"/>
      <c r="AA64" s="3"/>
      <c r="AB64" s="3"/>
      <c r="AC64" s="3"/>
    </row>
    <row r="65" spans="26:29" ht="13">
      <c r="Z65" s="3"/>
      <c r="AA65" s="3"/>
      <c r="AB65" s="3"/>
      <c r="AC65" s="3"/>
    </row>
    <row r="66" spans="26:29" ht="13">
      <c r="Z66" s="3"/>
      <c r="AA66" s="3"/>
      <c r="AB66" s="3"/>
      <c r="AC66" s="3"/>
    </row>
    <row r="67" spans="26:29" ht="13">
      <c r="Z67" s="3"/>
      <c r="AA67" s="3"/>
      <c r="AB67" s="3"/>
      <c r="AC67" s="3"/>
    </row>
    <row r="68" spans="26:29" ht="13">
      <c r="Z68" s="3"/>
      <c r="AA68" s="3"/>
      <c r="AB68" s="3"/>
      <c r="AC68" s="3"/>
    </row>
    <row r="69" spans="26:29" ht="13">
      <c r="Z69" s="3"/>
      <c r="AA69" s="3"/>
      <c r="AB69" s="3"/>
      <c r="AC69" s="3"/>
    </row>
    <row r="70" spans="26:29" ht="13">
      <c r="Z70" s="3"/>
      <c r="AA70" s="3"/>
      <c r="AB70" s="3"/>
      <c r="AC70" s="3"/>
    </row>
    <row r="71" spans="26:29" ht="13">
      <c r="Z71" s="3"/>
      <c r="AA71" s="3"/>
      <c r="AB71" s="3"/>
      <c r="AC71" s="3"/>
    </row>
    <row r="72" spans="26:29" ht="13">
      <c r="Z72" s="3"/>
      <c r="AA72" s="3"/>
      <c r="AB72" s="3"/>
      <c r="AC72" s="3"/>
    </row>
    <row r="73" spans="26:29" ht="13">
      <c r="Z73" s="3"/>
      <c r="AA73" s="3"/>
      <c r="AB73" s="3"/>
      <c r="AC73" s="3"/>
    </row>
    <row r="74" spans="26:29" ht="13">
      <c r="Z74" s="3"/>
      <c r="AA74" s="3"/>
      <c r="AB74" s="3"/>
      <c r="AC74" s="3"/>
    </row>
    <row r="75" spans="26:29" ht="13">
      <c r="Z75" s="3"/>
      <c r="AA75" s="3"/>
      <c r="AB75" s="3"/>
      <c r="AC75" s="3"/>
    </row>
    <row r="76" spans="26:29" ht="13">
      <c r="Z76" s="3"/>
      <c r="AA76" s="3"/>
      <c r="AB76" s="3"/>
      <c r="AC76" s="3"/>
    </row>
    <row r="77" spans="26:29" ht="13">
      <c r="Z77" s="3"/>
      <c r="AA77" s="3"/>
      <c r="AB77" s="3"/>
      <c r="AC77" s="3"/>
    </row>
    <row r="78" spans="26:29" ht="13">
      <c r="Z78" s="3"/>
      <c r="AA78" s="3"/>
      <c r="AB78" s="3"/>
      <c r="AC78" s="3"/>
    </row>
    <row r="79" spans="26:29" ht="13">
      <c r="Z79" s="3"/>
      <c r="AA79" s="3"/>
      <c r="AB79" s="3"/>
      <c r="AC79" s="3"/>
    </row>
    <row r="80" spans="26:29" ht="13">
      <c r="Z80" s="3"/>
      <c r="AA80" s="3"/>
      <c r="AB80" s="3"/>
      <c r="AC80" s="3"/>
    </row>
    <row r="81" spans="26:29" ht="13">
      <c r="Z81" s="3"/>
      <c r="AA81" s="3"/>
      <c r="AB81" s="3"/>
      <c r="AC81" s="3"/>
    </row>
    <row r="82" spans="26:29" ht="13">
      <c r="Z82" s="3"/>
      <c r="AA82" s="3"/>
      <c r="AB82" s="3"/>
      <c r="AC82" s="3"/>
    </row>
    <row r="83" spans="26:29" ht="13">
      <c r="Z83" s="3"/>
      <c r="AA83" s="3"/>
      <c r="AB83" s="3"/>
      <c r="AC83" s="3"/>
    </row>
    <row r="84" spans="26:29" ht="13">
      <c r="Z84" s="3"/>
      <c r="AA84" s="3"/>
      <c r="AB84" s="3"/>
      <c r="AC84" s="3"/>
    </row>
    <row r="85" spans="26:29" ht="13">
      <c r="Z85" s="3"/>
      <c r="AA85" s="3"/>
      <c r="AB85" s="3"/>
      <c r="AC85" s="3"/>
    </row>
    <row r="86" spans="26:29" ht="13">
      <c r="Z86" s="3"/>
      <c r="AA86" s="3"/>
      <c r="AB86" s="3"/>
      <c r="AC86" s="3"/>
    </row>
    <row r="87" spans="26:29" ht="13">
      <c r="Z87" s="3"/>
      <c r="AA87" s="3"/>
      <c r="AB87" s="3"/>
      <c r="AC87" s="3"/>
    </row>
    <row r="88" spans="26:29" ht="13">
      <c r="Z88" s="3"/>
      <c r="AA88" s="3"/>
      <c r="AB88" s="3"/>
      <c r="AC88" s="3"/>
    </row>
    <row r="89" spans="26:29" ht="13">
      <c r="Z89" s="3"/>
      <c r="AA89" s="3"/>
      <c r="AB89" s="3"/>
      <c r="AC89" s="3"/>
    </row>
    <row r="90" spans="26:29" ht="13">
      <c r="Z90" s="3"/>
      <c r="AA90" s="3"/>
      <c r="AB90" s="3"/>
      <c r="AC90" s="3"/>
    </row>
    <row r="91" spans="26:29" ht="13">
      <c r="Z91" s="3"/>
      <c r="AA91" s="3"/>
      <c r="AB91" s="3"/>
      <c r="AC91" s="3"/>
    </row>
    <row r="92" spans="26:29" ht="13">
      <c r="Z92" s="3"/>
      <c r="AA92" s="3"/>
      <c r="AB92" s="3"/>
      <c r="AC92" s="3"/>
    </row>
    <row r="93" spans="26:29" ht="13">
      <c r="Z93" s="3"/>
      <c r="AA93" s="3"/>
      <c r="AB93" s="3"/>
      <c r="AC93" s="3"/>
    </row>
    <row r="94" spans="26:29" ht="13">
      <c r="Z94" s="3"/>
      <c r="AA94" s="3"/>
      <c r="AB94" s="3"/>
      <c r="AC94" s="3"/>
    </row>
    <row r="95" spans="26:29" ht="13">
      <c r="Z95" s="3"/>
      <c r="AA95" s="3"/>
      <c r="AB95" s="3"/>
      <c r="AC95" s="3"/>
    </row>
    <row r="96" spans="26:29" ht="13">
      <c r="Z96" s="3"/>
      <c r="AA96" s="3"/>
      <c r="AB96" s="3"/>
      <c r="AC96" s="3"/>
    </row>
    <row r="97" spans="26:29" ht="13">
      <c r="Z97" s="3"/>
      <c r="AA97" s="3"/>
      <c r="AB97" s="3"/>
      <c r="AC97" s="3"/>
    </row>
    <row r="98" spans="26:29" ht="13">
      <c r="Z98" s="3"/>
      <c r="AA98" s="3"/>
      <c r="AB98" s="3"/>
      <c r="AC98" s="3"/>
    </row>
    <row r="99" spans="26:29" ht="13">
      <c r="Z99" s="3"/>
      <c r="AA99" s="3"/>
      <c r="AB99" s="3"/>
      <c r="AC99" s="3"/>
    </row>
    <row r="100" spans="26:29" ht="13">
      <c r="Z100" s="3"/>
      <c r="AA100" s="3"/>
      <c r="AB100" s="3"/>
      <c r="AC100" s="3"/>
    </row>
    <row r="101" spans="26:29" ht="13">
      <c r="Z101" s="3"/>
      <c r="AA101" s="3"/>
      <c r="AB101" s="3"/>
      <c r="AC101" s="3"/>
    </row>
    <row r="102" spans="26:29" ht="13">
      <c r="Z102" s="3"/>
      <c r="AA102" s="3"/>
      <c r="AB102" s="3"/>
      <c r="AC102" s="3"/>
    </row>
    <row r="103" spans="26:29" ht="13">
      <c r="Z103" s="3"/>
      <c r="AA103" s="3"/>
      <c r="AB103" s="3"/>
      <c r="AC103" s="3"/>
    </row>
    <row r="104" spans="26:29" ht="13">
      <c r="Z104" s="3"/>
      <c r="AA104" s="3"/>
      <c r="AB104" s="3"/>
      <c r="AC104" s="3"/>
    </row>
    <row r="105" spans="26:29" ht="13">
      <c r="Z105" s="3"/>
      <c r="AA105" s="3"/>
      <c r="AB105" s="3"/>
      <c r="AC105" s="3"/>
    </row>
    <row r="106" spans="26:29" ht="13">
      <c r="Z106" s="3"/>
      <c r="AA106" s="3"/>
      <c r="AB106" s="3"/>
      <c r="AC106" s="3"/>
    </row>
    <row r="107" spans="26:29" ht="13">
      <c r="Z107" s="3"/>
      <c r="AA107" s="3"/>
      <c r="AB107" s="3"/>
      <c r="AC107" s="3"/>
    </row>
    <row r="108" spans="26:29" ht="13">
      <c r="Z108" s="3"/>
      <c r="AA108" s="3"/>
      <c r="AB108" s="3"/>
      <c r="AC108" s="3"/>
    </row>
    <row r="109" spans="26:29" ht="13">
      <c r="Z109" s="3"/>
      <c r="AA109" s="3"/>
      <c r="AB109" s="3"/>
      <c r="AC109" s="3"/>
    </row>
    <row r="110" spans="26:29" ht="13">
      <c r="Z110" s="3"/>
      <c r="AA110" s="3"/>
      <c r="AB110" s="3"/>
      <c r="AC110" s="3"/>
    </row>
    <row r="111" spans="26:29" ht="13">
      <c r="Z111" s="3"/>
      <c r="AA111" s="3"/>
      <c r="AB111" s="3"/>
      <c r="AC111" s="3"/>
    </row>
    <row r="112" spans="26:29" ht="13">
      <c r="Z112" s="3"/>
      <c r="AA112" s="3"/>
      <c r="AB112" s="3"/>
      <c r="AC112" s="3"/>
    </row>
    <row r="113" spans="26:29" ht="13">
      <c r="Z113" s="3"/>
      <c r="AA113" s="3"/>
      <c r="AB113" s="3"/>
      <c r="AC113" s="3"/>
    </row>
    <row r="114" spans="26:29" ht="13">
      <c r="Z114" s="3"/>
      <c r="AA114" s="3"/>
      <c r="AB114" s="3"/>
      <c r="AC114" s="3"/>
    </row>
    <row r="115" spans="26:29" ht="13">
      <c r="Z115" s="3"/>
      <c r="AA115" s="3"/>
      <c r="AB115" s="3"/>
      <c r="AC115" s="3"/>
    </row>
    <row r="116" spans="26:29" ht="13">
      <c r="Z116" s="3"/>
      <c r="AA116" s="3"/>
      <c r="AB116" s="3"/>
      <c r="AC116" s="3"/>
    </row>
    <row r="117" spans="26:29" ht="13">
      <c r="Z117" s="3"/>
      <c r="AA117" s="3"/>
      <c r="AB117" s="3"/>
      <c r="AC117" s="3"/>
    </row>
    <row r="118" spans="26:29" ht="13">
      <c r="Z118" s="3"/>
      <c r="AA118" s="3"/>
      <c r="AB118" s="3"/>
      <c r="AC118" s="3"/>
    </row>
    <row r="119" spans="26:29" ht="13">
      <c r="Z119" s="3"/>
      <c r="AA119" s="3"/>
      <c r="AB119" s="3"/>
      <c r="AC119" s="3"/>
    </row>
    <row r="120" spans="26:29" ht="13">
      <c r="Z120" s="3"/>
      <c r="AA120" s="3"/>
      <c r="AB120" s="3"/>
      <c r="AC120" s="3"/>
    </row>
    <row r="121" spans="26:29" ht="13">
      <c r="Z121" s="3"/>
      <c r="AA121" s="3"/>
      <c r="AB121" s="3"/>
      <c r="AC121" s="3"/>
    </row>
    <row r="122" spans="26:29" ht="13">
      <c r="Z122" s="3"/>
      <c r="AA122" s="3"/>
      <c r="AB122" s="3"/>
      <c r="AC122" s="3"/>
    </row>
    <row r="123" spans="26:29" ht="13">
      <c r="Z123" s="3"/>
      <c r="AA123" s="3"/>
      <c r="AB123" s="3"/>
      <c r="AC123" s="3"/>
    </row>
    <row r="124" spans="26:29" ht="13">
      <c r="Z124" s="3"/>
      <c r="AA124" s="3"/>
      <c r="AB124" s="3"/>
      <c r="AC124" s="3"/>
    </row>
    <row r="125" spans="26:29" ht="13">
      <c r="Z125" s="3"/>
      <c r="AA125" s="3"/>
      <c r="AB125" s="3"/>
      <c r="AC125" s="3"/>
    </row>
    <row r="126" spans="26:29" ht="13">
      <c r="Z126" s="3"/>
      <c r="AA126" s="3"/>
      <c r="AB126" s="3"/>
      <c r="AC126" s="3"/>
    </row>
    <row r="127" spans="26:29" ht="13">
      <c r="Z127" s="3"/>
      <c r="AA127" s="3"/>
      <c r="AB127" s="3"/>
      <c r="AC127" s="3"/>
    </row>
    <row r="128" spans="26:29" ht="13">
      <c r="Z128" s="3"/>
      <c r="AA128" s="3"/>
      <c r="AB128" s="3"/>
      <c r="AC128" s="3"/>
    </row>
    <row r="129" spans="26:29" ht="13">
      <c r="Z129" s="3"/>
      <c r="AA129" s="3"/>
      <c r="AB129" s="3"/>
      <c r="AC129" s="3"/>
    </row>
    <row r="130" spans="26:29" ht="13">
      <c r="Z130" s="3"/>
      <c r="AA130" s="3"/>
      <c r="AB130" s="3"/>
      <c r="AC130" s="3"/>
    </row>
    <row r="131" spans="26:29" ht="13">
      <c r="Z131" s="3"/>
      <c r="AA131" s="3"/>
      <c r="AB131" s="3"/>
      <c r="AC131" s="3"/>
    </row>
    <row r="132" spans="26:29" ht="13">
      <c r="Z132" s="3"/>
      <c r="AA132" s="3"/>
      <c r="AB132" s="3"/>
      <c r="AC132" s="3"/>
    </row>
    <row r="133" spans="26:29" ht="13">
      <c r="Z133" s="3"/>
      <c r="AA133" s="3"/>
      <c r="AB133" s="3"/>
      <c r="AC133" s="3"/>
    </row>
    <row r="134" spans="26:29" ht="13">
      <c r="Z134" s="3"/>
      <c r="AA134" s="3"/>
      <c r="AB134" s="3"/>
      <c r="AC134" s="3"/>
    </row>
    <row r="135" spans="26:29" ht="13">
      <c r="Z135" s="3"/>
      <c r="AA135" s="3"/>
      <c r="AB135" s="3"/>
      <c r="AC135" s="3"/>
    </row>
    <row r="136" spans="26:29" ht="13">
      <c r="Z136" s="3"/>
      <c r="AA136" s="3"/>
      <c r="AB136" s="3"/>
      <c r="AC136" s="3"/>
    </row>
    <row r="137" spans="26:29" ht="13">
      <c r="Z137" s="3"/>
      <c r="AA137" s="3"/>
      <c r="AB137" s="3"/>
      <c r="AC137" s="3"/>
    </row>
    <row r="138" spans="26:29" ht="13">
      <c r="Z138" s="3"/>
      <c r="AA138" s="3"/>
      <c r="AB138" s="3"/>
      <c r="AC138" s="3"/>
    </row>
    <row r="139" spans="26:29" ht="13">
      <c r="Z139" s="3"/>
      <c r="AA139" s="3"/>
      <c r="AB139" s="3"/>
      <c r="AC139" s="3"/>
    </row>
    <row r="140" spans="26:29" ht="13">
      <c r="Z140" s="3"/>
      <c r="AA140" s="3"/>
      <c r="AB140" s="3"/>
      <c r="AC140" s="3"/>
    </row>
    <row r="141" spans="26:29" ht="13">
      <c r="Z141" s="3"/>
      <c r="AA141" s="3"/>
      <c r="AB141" s="3"/>
      <c r="AC141" s="3"/>
    </row>
    <row r="142" spans="26:29" ht="13">
      <c r="Z142" s="3"/>
      <c r="AA142" s="3"/>
      <c r="AB142" s="3"/>
      <c r="AC142" s="3"/>
    </row>
    <row r="143" spans="26:29" ht="13">
      <c r="Z143" s="3"/>
      <c r="AA143" s="3"/>
      <c r="AB143" s="3"/>
      <c r="AC143" s="3"/>
    </row>
    <row r="144" spans="26:29" ht="13">
      <c r="Z144" s="3"/>
      <c r="AA144" s="3"/>
      <c r="AB144" s="3"/>
      <c r="AC144" s="3"/>
    </row>
    <row r="145" spans="26:29" ht="13">
      <c r="Z145" s="3"/>
      <c r="AA145" s="3"/>
      <c r="AB145" s="3"/>
      <c r="AC145" s="3"/>
    </row>
    <row r="146" spans="26:29" ht="13">
      <c r="Z146" s="3"/>
      <c r="AA146" s="3"/>
      <c r="AB146" s="3"/>
      <c r="AC146" s="3"/>
    </row>
    <row r="147" spans="26:29" ht="13">
      <c r="Z147" s="3"/>
      <c r="AA147" s="3"/>
      <c r="AB147" s="3"/>
      <c r="AC147" s="3"/>
    </row>
    <row r="148" spans="26:29" ht="13">
      <c r="Z148" s="3"/>
      <c r="AA148" s="3"/>
      <c r="AB148" s="3"/>
      <c r="AC148" s="3"/>
    </row>
    <row r="149" spans="26:29" ht="13">
      <c r="Z149" s="3"/>
      <c r="AA149" s="3"/>
      <c r="AB149" s="3"/>
      <c r="AC149" s="3"/>
    </row>
    <row r="150" spans="26:29" ht="13">
      <c r="Z150" s="3"/>
      <c r="AA150" s="3"/>
      <c r="AB150" s="3"/>
      <c r="AC150" s="3"/>
    </row>
    <row r="151" spans="26:29" ht="13">
      <c r="Z151" s="3"/>
      <c r="AA151" s="3"/>
      <c r="AB151" s="3"/>
      <c r="AC151" s="3"/>
    </row>
    <row r="152" spans="26:29" ht="13">
      <c r="Z152" s="3"/>
      <c r="AA152" s="3"/>
      <c r="AB152" s="3"/>
      <c r="AC152" s="3"/>
    </row>
    <row r="153" spans="26:29" ht="13">
      <c r="Z153" s="3"/>
      <c r="AA153" s="3"/>
      <c r="AB153" s="3"/>
      <c r="AC153" s="3"/>
    </row>
    <row r="154" spans="26:29" ht="13">
      <c r="Z154" s="3"/>
      <c r="AA154" s="3"/>
      <c r="AB154" s="3"/>
      <c r="AC154" s="3"/>
    </row>
    <row r="155" spans="26:29" ht="13">
      <c r="Z155" s="3"/>
      <c r="AA155" s="3"/>
      <c r="AB155" s="3"/>
      <c r="AC155" s="3"/>
    </row>
    <row r="156" spans="26:29" ht="13">
      <c r="Z156" s="3"/>
      <c r="AA156" s="3"/>
      <c r="AB156" s="3"/>
      <c r="AC156" s="3"/>
    </row>
    <row r="157" spans="26:29" ht="13">
      <c r="Z157" s="3"/>
      <c r="AA157" s="3"/>
      <c r="AB157" s="3"/>
      <c r="AC157" s="3"/>
    </row>
    <row r="158" spans="26:29" ht="13">
      <c r="Z158" s="3"/>
      <c r="AA158" s="3"/>
      <c r="AB158" s="3"/>
      <c r="AC158" s="3"/>
    </row>
    <row r="159" spans="26:29" ht="13">
      <c r="Z159" s="3"/>
      <c r="AA159" s="3"/>
      <c r="AB159" s="3"/>
      <c r="AC159" s="3"/>
    </row>
    <row r="160" spans="26:29" ht="13">
      <c r="Z160" s="3"/>
      <c r="AA160" s="3"/>
      <c r="AB160" s="3"/>
      <c r="AC160" s="3"/>
    </row>
    <row r="161" spans="26:29" ht="13">
      <c r="Z161" s="3"/>
      <c r="AA161" s="3"/>
      <c r="AB161" s="3"/>
      <c r="AC161" s="3"/>
    </row>
    <row r="162" spans="26:29" ht="13">
      <c r="Z162" s="3"/>
      <c r="AA162" s="3"/>
      <c r="AB162" s="3"/>
      <c r="AC162" s="3"/>
    </row>
    <row r="163" spans="26:29" ht="13">
      <c r="Z163" s="3"/>
      <c r="AA163" s="3"/>
      <c r="AB163" s="3"/>
      <c r="AC163" s="3"/>
    </row>
    <row r="164" spans="26:29" ht="13">
      <c r="Z164" s="3"/>
      <c r="AA164" s="3"/>
      <c r="AB164" s="3"/>
      <c r="AC164" s="3"/>
    </row>
    <row r="165" spans="26:29" ht="13">
      <c r="Z165" s="3"/>
      <c r="AA165" s="3"/>
      <c r="AB165" s="3"/>
      <c r="AC165" s="3"/>
    </row>
    <row r="166" spans="26:29" ht="13">
      <c r="Z166" s="3"/>
      <c r="AA166" s="3"/>
      <c r="AB166" s="3"/>
      <c r="AC166" s="3"/>
    </row>
    <row r="167" spans="26:29" ht="13">
      <c r="Z167" s="3"/>
      <c r="AA167" s="3"/>
      <c r="AB167" s="3"/>
      <c r="AC167" s="3"/>
    </row>
    <row r="168" spans="26:29" ht="13">
      <c r="Z168" s="3"/>
      <c r="AA168" s="3"/>
      <c r="AB168" s="3"/>
      <c r="AC168" s="3"/>
    </row>
    <row r="169" spans="26:29" ht="13">
      <c r="Z169" s="3"/>
      <c r="AA169" s="3"/>
      <c r="AB169" s="3"/>
      <c r="AC169" s="3"/>
    </row>
    <row r="170" spans="26:29" ht="13">
      <c r="Z170" s="3"/>
      <c r="AA170" s="3"/>
      <c r="AB170" s="3"/>
      <c r="AC170" s="3"/>
    </row>
    <row r="171" spans="26:29" ht="13">
      <c r="Z171" s="3"/>
      <c r="AA171" s="3"/>
      <c r="AB171" s="3"/>
      <c r="AC171" s="3"/>
    </row>
    <row r="172" spans="26:29" ht="13">
      <c r="Z172" s="3"/>
      <c r="AA172" s="3"/>
      <c r="AB172" s="3"/>
      <c r="AC172" s="3"/>
    </row>
    <row r="173" spans="26:29" ht="13">
      <c r="Z173" s="3"/>
      <c r="AA173" s="3"/>
      <c r="AB173" s="3"/>
      <c r="AC173" s="3"/>
    </row>
    <row r="174" spans="26:29" ht="13">
      <c r="Z174" s="3"/>
      <c r="AA174" s="3"/>
      <c r="AB174" s="3"/>
      <c r="AC174" s="3"/>
    </row>
    <row r="175" spans="26:29" ht="13">
      <c r="Z175" s="3"/>
      <c r="AA175" s="3"/>
      <c r="AB175" s="3"/>
      <c r="AC175" s="3"/>
    </row>
    <row r="176" spans="26:29" ht="13">
      <c r="Z176" s="3"/>
      <c r="AA176" s="3"/>
      <c r="AB176" s="3"/>
      <c r="AC176" s="3"/>
    </row>
    <row r="177" spans="26:29" ht="13">
      <c r="Z177" s="3"/>
      <c r="AA177" s="3"/>
      <c r="AB177" s="3"/>
      <c r="AC177" s="3"/>
    </row>
    <row r="178" spans="26:29" ht="13">
      <c r="Z178" s="3"/>
      <c r="AA178" s="3"/>
      <c r="AB178" s="3"/>
      <c r="AC178" s="3"/>
    </row>
    <row r="179" spans="26:29" ht="13">
      <c r="Z179" s="3"/>
      <c r="AA179" s="3"/>
      <c r="AB179" s="3"/>
      <c r="AC179" s="3"/>
    </row>
    <row r="180" spans="26:29" ht="13">
      <c r="Z180" s="3"/>
      <c r="AA180" s="3"/>
      <c r="AB180" s="3"/>
      <c r="AC180" s="3"/>
    </row>
    <row r="181" spans="26:29" ht="13">
      <c r="Z181" s="3"/>
      <c r="AA181" s="3"/>
      <c r="AB181" s="3"/>
      <c r="AC181" s="3"/>
    </row>
    <row r="182" spans="26:29" ht="13">
      <c r="Z182" s="3"/>
      <c r="AA182" s="3"/>
      <c r="AB182" s="3"/>
      <c r="AC182" s="3"/>
    </row>
    <row r="183" spans="26:29" ht="13">
      <c r="Z183" s="3"/>
      <c r="AA183" s="3"/>
      <c r="AB183" s="3"/>
      <c r="AC183" s="3"/>
    </row>
    <row r="184" spans="26:29" ht="13">
      <c r="Z184" s="3"/>
      <c r="AA184" s="3"/>
      <c r="AB184" s="3"/>
      <c r="AC184" s="3"/>
    </row>
    <row r="185" spans="26:29" ht="13">
      <c r="Z185" s="3"/>
      <c r="AA185" s="3"/>
      <c r="AB185" s="3"/>
      <c r="AC185" s="3"/>
    </row>
    <row r="186" spans="26:29" ht="13">
      <c r="Z186" s="3"/>
      <c r="AA186" s="3"/>
      <c r="AB186" s="3"/>
      <c r="AC186" s="3"/>
    </row>
    <row r="187" spans="26:29" ht="13">
      <c r="Z187" s="3"/>
      <c r="AA187" s="3"/>
      <c r="AB187" s="3"/>
      <c r="AC187" s="3"/>
    </row>
    <row r="188" spans="26:29" ht="13">
      <c r="Z188" s="3"/>
      <c r="AA188" s="3"/>
      <c r="AB188" s="3"/>
      <c r="AC188" s="3"/>
    </row>
    <row r="189" spans="26:29" ht="13">
      <c r="Z189" s="3"/>
      <c r="AA189" s="3"/>
      <c r="AB189" s="3"/>
      <c r="AC189" s="3"/>
    </row>
    <row r="190" spans="26:29" ht="13">
      <c r="Z190" s="3"/>
      <c r="AA190" s="3"/>
      <c r="AB190" s="3"/>
      <c r="AC190" s="3"/>
    </row>
    <row r="191" spans="26:29" ht="13">
      <c r="Z191" s="3"/>
      <c r="AA191" s="3"/>
      <c r="AB191" s="3"/>
      <c r="AC191" s="3"/>
    </row>
    <row r="192" spans="26:29" ht="13">
      <c r="Z192" s="3"/>
      <c r="AA192" s="3"/>
      <c r="AB192" s="3"/>
      <c r="AC192" s="3"/>
    </row>
    <row r="193" spans="26:29" ht="13">
      <c r="Z193" s="3"/>
      <c r="AA193" s="3"/>
      <c r="AB193" s="3"/>
      <c r="AC193" s="3"/>
    </row>
    <row r="194" spans="26:29" ht="13">
      <c r="Z194" s="3"/>
      <c r="AA194" s="3"/>
      <c r="AB194" s="3"/>
      <c r="AC194" s="3"/>
    </row>
    <row r="195" spans="26:29" ht="13">
      <c r="Z195" s="3"/>
      <c r="AA195" s="3"/>
      <c r="AB195" s="3"/>
      <c r="AC195" s="3"/>
    </row>
    <row r="196" spans="26:29" ht="13">
      <c r="Z196" s="3"/>
      <c r="AA196" s="3"/>
      <c r="AB196" s="3"/>
      <c r="AC196" s="3"/>
    </row>
    <row r="197" spans="26:29" ht="13">
      <c r="Z197" s="3"/>
      <c r="AA197" s="3"/>
      <c r="AB197" s="3"/>
      <c r="AC197" s="3"/>
    </row>
    <row r="198" spans="26:29" ht="13">
      <c r="Z198" s="3"/>
      <c r="AA198" s="3"/>
      <c r="AB198" s="3"/>
      <c r="AC198" s="3"/>
    </row>
    <row r="199" spans="26:29" ht="13">
      <c r="Z199" s="3"/>
      <c r="AA199" s="3"/>
      <c r="AB199" s="3"/>
      <c r="AC199" s="3"/>
    </row>
    <row r="200" spans="26:29" ht="13">
      <c r="Z200" s="3"/>
      <c r="AA200" s="3"/>
      <c r="AB200" s="3"/>
      <c r="AC200" s="3"/>
    </row>
    <row r="201" spans="26:29" ht="13">
      <c r="Z201" s="3"/>
      <c r="AA201" s="3"/>
      <c r="AB201" s="3"/>
      <c r="AC201" s="3"/>
    </row>
    <row r="202" spans="26:29" ht="13">
      <c r="Z202" s="3"/>
      <c r="AA202" s="3"/>
      <c r="AB202" s="3"/>
      <c r="AC202" s="3"/>
    </row>
    <row r="203" spans="26:29" ht="13">
      <c r="Z203" s="3"/>
      <c r="AA203" s="3"/>
      <c r="AB203" s="3"/>
      <c r="AC203" s="3"/>
    </row>
    <row r="204" spans="26:29" ht="13">
      <c r="Z204" s="3"/>
      <c r="AA204" s="3"/>
      <c r="AB204" s="3"/>
      <c r="AC204" s="3"/>
    </row>
    <row r="205" spans="26:29" ht="13">
      <c r="Z205" s="3"/>
      <c r="AA205" s="3"/>
      <c r="AB205" s="3"/>
      <c r="AC205" s="3"/>
    </row>
    <row r="206" spans="26:29" ht="13">
      <c r="Z206" s="3"/>
      <c r="AA206" s="3"/>
      <c r="AB206" s="3"/>
      <c r="AC206" s="3"/>
    </row>
    <row r="207" spans="26:29" ht="13">
      <c r="Z207" s="3"/>
      <c r="AA207" s="3"/>
      <c r="AB207" s="3"/>
      <c r="AC207" s="3"/>
    </row>
    <row r="208" spans="26:29" ht="13">
      <c r="Z208" s="3"/>
      <c r="AA208" s="3"/>
      <c r="AB208" s="3"/>
      <c r="AC208" s="3"/>
    </row>
    <row r="209" spans="26:29" ht="13">
      <c r="Z209" s="3"/>
      <c r="AA209" s="3"/>
      <c r="AB209" s="3"/>
      <c r="AC209" s="3"/>
    </row>
    <row r="210" spans="26:29" ht="13">
      <c r="Z210" s="3"/>
      <c r="AA210" s="3"/>
      <c r="AB210" s="3"/>
      <c r="AC210" s="3"/>
    </row>
    <row r="211" spans="26:29" ht="13">
      <c r="Z211" s="3"/>
      <c r="AA211" s="3"/>
      <c r="AB211" s="3"/>
      <c r="AC211" s="3"/>
    </row>
    <row r="212" spans="26:29" ht="13">
      <c r="Z212" s="3"/>
      <c r="AA212" s="3"/>
      <c r="AB212" s="3"/>
      <c r="AC212" s="3"/>
    </row>
    <row r="213" spans="26:29" ht="13">
      <c r="Z213" s="3"/>
      <c r="AA213" s="3"/>
      <c r="AB213" s="3"/>
      <c r="AC213" s="3"/>
    </row>
    <row r="214" spans="26:29" ht="13">
      <c r="Z214" s="3"/>
      <c r="AA214" s="3"/>
      <c r="AB214" s="3"/>
      <c r="AC214" s="3"/>
    </row>
    <row r="215" spans="26:29" ht="13">
      <c r="Z215" s="3"/>
      <c r="AA215" s="3"/>
      <c r="AB215" s="3"/>
      <c r="AC215" s="3"/>
    </row>
    <row r="216" spans="26:29" ht="13">
      <c r="Z216" s="3"/>
      <c r="AA216" s="3"/>
      <c r="AB216" s="3"/>
      <c r="AC216" s="3"/>
    </row>
    <row r="217" spans="26:29" ht="13">
      <c r="Z217" s="3"/>
      <c r="AA217" s="3"/>
      <c r="AB217" s="3"/>
      <c r="AC217" s="3"/>
    </row>
    <row r="218" spans="26:29" ht="13">
      <c r="Z218" s="3"/>
      <c r="AA218" s="3"/>
      <c r="AB218" s="3"/>
      <c r="AC218" s="3"/>
    </row>
    <row r="219" spans="26:29" ht="13">
      <c r="Z219" s="3"/>
      <c r="AA219" s="3"/>
      <c r="AB219" s="3"/>
      <c r="AC219" s="3"/>
    </row>
    <row r="220" spans="26:29" ht="13">
      <c r="Z220" s="3"/>
      <c r="AA220" s="3"/>
      <c r="AB220" s="3"/>
      <c r="AC220" s="3"/>
    </row>
    <row r="221" spans="26:29" ht="13">
      <c r="Z221" s="3"/>
      <c r="AA221" s="3"/>
      <c r="AB221" s="3"/>
      <c r="AC221" s="3"/>
    </row>
    <row r="222" spans="26:29" ht="13">
      <c r="Z222" s="3"/>
      <c r="AA222" s="3"/>
      <c r="AB222" s="3"/>
      <c r="AC222" s="3"/>
    </row>
    <row r="223" spans="26:29" ht="13">
      <c r="Z223" s="3"/>
      <c r="AA223" s="3"/>
      <c r="AB223" s="3"/>
      <c r="AC223" s="3"/>
    </row>
    <row r="224" spans="26:29" ht="13">
      <c r="Z224" s="3"/>
      <c r="AA224" s="3"/>
      <c r="AB224" s="3"/>
      <c r="AC224" s="3"/>
    </row>
    <row r="225" spans="26:29" ht="13">
      <c r="Z225" s="3"/>
      <c r="AA225" s="3"/>
      <c r="AB225" s="3"/>
      <c r="AC225" s="3"/>
    </row>
    <row r="226" spans="26:29" ht="13">
      <c r="Z226" s="3"/>
      <c r="AA226" s="3"/>
      <c r="AB226" s="3"/>
      <c r="AC226" s="3"/>
    </row>
    <row r="227" spans="26:29" ht="13">
      <c r="Z227" s="3"/>
      <c r="AA227" s="3"/>
      <c r="AB227" s="3"/>
      <c r="AC227" s="3"/>
    </row>
    <row r="228" spans="26:29" ht="13">
      <c r="Z228" s="3"/>
      <c r="AA228" s="3"/>
      <c r="AB228" s="3"/>
      <c r="AC228" s="3"/>
    </row>
    <row r="229" spans="26:29" ht="13">
      <c r="Z229" s="3"/>
      <c r="AA229" s="3"/>
      <c r="AB229" s="3"/>
      <c r="AC229" s="3"/>
    </row>
    <row r="230" spans="26:29" ht="13">
      <c r="Z230" s="3"/>
      <c r="AA230" s="3"/>
      <c r="AB230" s="3"/>
      <c r="AC230" s="3"/>
    </row>
    <row r="231" spans="26:29" ht="13">
      <c r="Z231" s="3"/>
      <c r="AA231" s="3"/>
      <c r="AB231" s="3"/>
      <c r="AC231" s="3"/>
    </row>
    <row r="232" spans="26:29" ht="13">
      <c r="Z232" s="3"/>
      <c r="AA232" s="3"/>
      <c r="AB232" s="3"/>
      <c r="AC232" s="3"/>
    </row>
    <row r="233" spans="26:29" ht="13">
      <c r="Z233" s="3"/>
      <c r="AA233" s="3"/>
      <c r="AB233" s="3"/>
      <c r="AC233" s="3"/>
    </row>
    <row r="234" spans="26:29" ht="13">
      <c r="Z234" s="3"/>
      <c r="AA234" s="3"/>
      <c r="AB234" s="3"/>
      <c r="AC234" s="3"/>
    </row>
    <row r="235" spans="26:29" ht="13">
      <c r="Z235" s="3"/>
      <c r="AA235" s="3"/>
      <c r="AB235" s="3"/>
      <c r="AC235" s="3"/>
    </row>
    <row r="236" spans="26:29" ht="13">
      <c r="Z236" s="3"/>
      <c r="AA236" s="3"/>
      <c r="AB236" s="3"/>
      <c r="AC236" s="3"/>
    </row>
    <row r="237" spans="26:29" ht="13">
      <c r="Z237" s="3"/>
      <c r="AA237" s="3"/>
      <c r="AB237" s="3"/>
      <c r="AC237" s="3"/>
    </row>
    <row r="238" spans="26:29" ht="13">
      <c r="Z238" s="3"/>
      <c r="AA238" s="3"/>
      <c r="AB238" s="3"/>
      <c r="AC238" s="3"/>
    </row>
    <row r="239" spans="26:29" ht="13">
      <c r="Z239" s="3"/>
      <c r="AA239" s="3"/>
      <c r="AB239" s="3"/>
      <c r="AC239" s="3"/>
    </row>
    <row r="240" spans="26:29" ht="13">
      <c r="Z240" s="3"/>
      <c r="AA240" s="3"/>
      <c r="AB240" s="3"/>
      <c r="AC240" s="3"/>
    </row>
    <row r="241" spans="26:29" ht="13">
      <c r="Z241" s="3"/>
      <c r="AA241" s="3"/>
      <c r="AB241" s="3"/>
      <c r="AC241" s="3"/>
    </row>
    <row r="242" spans="26:29" ht="13">
      <c r="Z242" s="3"/>
      <c r="AA242" s="3"/>
      <c r="AB242" s="3"/>
      <c r="AC242" s="3"/>
    </row>
    <row r="243" spans="26:29" ht="13">
      <c r="Z243" s="3"/>
      <c r="AA243" s="3"/>
      <c r="AB243" s="3"/>
      <c r="AC243" s="3"/>
    </row>
    <row r="244" spans="26:29" ht="13">
      <c r="Z244" s="3"/>
      <c r="AA244" s="3"/>
      <c r="AB244" s="3"/>
      <c r="AC244" s="3"/>
    </row>
    <row r="245" spans="26:29" ht="13">
      <c r="Z245" s="3"/>
      <c r="AA245" s="3"/>
      <c r="AB245" s="3"/>
      <c r="AC245" s="3"/>
    </row>
    <row r="246" spans="26:29" ht="13">
      <c r="Z246" s="3"/>
      <c r="AA246" s="3"/>
      <c r="AB246" s="3"/>
      <c r="AC246" s="3"/>
    </row>
    <row r="247" spans="26:29" ht="13">
      <c r="Z247" s="3"/>
      <c r="AA247" s="3"/>
      <c r="AB247" s="3"/>
      <c r="AC247" s="3"/>
    </row>
    <row r="248" spans="26:29" ht="13">
      <c r="Z248" s="3"/>
      <c r="AA248" s="3"/>
      <c r="AB248" s="3"/>
      <c r="AC248" s="3"/>
    </row>
    <row r="249" spans="26:29" ht="13">
      <c r="Z249" s="3"/>
      <c r="AA249" s="3"/>
      <c r="AB249" s="3"/>
      <c r="AC249" s="3"/>
    </row>
    <row r="250" spans="26:29" ht="13">
      <c r="Z250" s="3"/>
      <c r="AA250" s="3"/>
      <c r="AB250" s="3"/>
      <c r="AC250" s="3"/>
    </row>
    <row r="251" spans="26:29" ht="13">
      <c r="Z251" s="3"/>
      <c r="AA251" s="3"/>
      <c r="AB251" s="3"/>
      <c r="AC251" s="3"/>
    </row>
    <row r="252" spans="26:29" ht="13">
      <c r="Z252" s="3"/>
      <c r="AA252" s="3"/>
      <c r="AB252" s="3"/>
      <c r="AC252" s="3"/>
    </row>
    <row r="253" spans="26:29" ht="13">
      <c r="Z253" s="3"/>
      <c r="AA253" s="3"/>
      <c r="AB253" s="3"/>
      <c r="AC253" s="3"/>
    </row>
    <row r="254" spans="26:29" ht="13">
      <c r="Z254" s="3"/>
      <c r="AA254" s="3"/>
      <c r="AB254" s="3"/>
      <c r="AC254" s="3"/>
    </row>
    <row r="255" spans="26:29" ht="13">
      <c r="Z255" s="3"/>
      <c r="AA255" s="3"/>
      <c r="AB255" s="3"/>
      <c r="AC255" s="3"/>
    </row>
    <row r="256" spans="26:29" ht="13">
      <c r="Z256" s="3"/>
      <c r="AA256" s="3"/>
      <c r="AB256" s="3"/>
      <c r="AC256" s="3"/>
    </row>
    <row r="257" spans="26:29" ht="13">
      <c r="Z257" s="3"/>
      <c r="AA257" s="3"/>
      <c r="AB257" s="3"/>
      <c r="AC257" s="3"/>
    </row>
    <row r="258" spans="26:29" ht="13">
      <c r="Z258" s="3"/>
      <c r="AA258" s="3"/>
      <c r="AB258" s="3"/>
      <c r="AC258" s="3"/>
    </row>
    <row r="259" spans="26:29" ht="13">
      <c r="Z259" s="3"/>
      <c r="AA259" s="3"/>
      <c r="AB259" s="3"/>
      <c r="AC259" s="3"/>
    </row>
    <row r="260" spans="26:29" ht="13">
      <c r="Z260" s="3"/>
      <c r="AA260" s="3"/>
      <c r="AB260" s="3"/>
      <c r="AC260" s="3"/>
    </row>
    <row r="261" spans="26:29" ht="13">
      <c r="Z261" s="3"/>
      <c r="AA261" s="3"/>
      <c r="AB261" s="3"/>
      <c r="AC261" s="3"/>
    </row>
    <row r="262" spans="26:29" ht="13">
      <c r="Z262" s="3"/>
      <c r="AA262" s="3"/>
      <c r="AB262" s="3"/>
      <c r="AC262" s="3"/>
    </row>
    <row r="263" spans="26:29" ht="13">
      <c r="Z263" s="3"/>
      <c r="AA263" s="3"/>
      <c r="AB263" s="3"/>
      <c r="AC263" s="3"/>
    </row>
    <row r="264" spans="26:29" ht="13">
      <c r="Z264" s="3"/>
      <c r="AA264" s="3"/>
      <c r="AB264" s="3"/>
      <c r="AC264" s="3"/>
    </row>
    <row r="265" spans="26:29" ht="13">
      <c r="Z265" s="3"/>
      <c r="AA265" s="3"/>
      <c r="AB265" s="3"/>
      <c r="AC265" s="3"/>
    </row>
    <row r="266" spans="26:29" ht="13">
      <c r="Z266" s="3"/>
      <c r="AA266" s="3"/>
      <c r="AB266" s="3"/>
      <c r="AC266" s="3"/>
    </row>
    <row r="267" spans="26:29" ht="13">
      <c r="Z267" s="3"/>
      <c r="AA267" s="3"/>
      <c r="AB267" s="3"/>
      <c r="AC267" s="3"/>
    </row>
    <row r="268" spans="26:29" ht="13">
      <c r="Z268" s="3"/>
      <c r="AA268" s="3"/>
      <c r="AB268" s="3"/>
      <c r="AC268" s="3"/>
    </row>
    <row r="269" spans="26:29" ht="13">
      <c r="Z269" s="3"/>
      <c r="AA269" s="3"/>
      <c r="AB269" s="3"/>
      <c r="AC269" s="3"/>
    </row>
    <row r="270" spans="26:29" ht="13">
      <c r="Z270" s="3"/>
      <c r="AA270" s="3"/>
      <c r="AB270" s="3"/>
      <c r="AC270" s="3"/>
    </row>
    <row r="271" spans="26:29" ht="13">
      <c r="Z271" s="3"/>
      <c r="AA271" s="3"/>
      <c r="AB271" s="3"/>
      <c r="AC271" s="3"/>
    </row>
    <row r="272" spans="26:29" ht="13">
      <c r="Z272" s="3"/>
      <c r="AA272" s="3"/>
      <c r="AB272" s="3"/>
      <c r="AC272" s="3"/>
    </row>
    <row r="273" spans="26:29" ht="13">
      <c r="Z273" s="3"/>
      <c r="AA273" s="3"/>
      <c r="AB273" s="3"/>
      <c r="AC273" s="3"/>
    </row>
    <row r="274" spans="26:29" ht="13">
      <c r="Z274" s="3"/>
      <c r="AA274" s="3"/>
      <c r="AB274" s="3"/>
      <c r="AC274" s="3"/>
    </row>
    <row r="275" spans="26:29" ht="13">
      <c r="Z275" s="3"/>
      <c r="AA275" s="3"/>
      <c r="AB275" s="3"/>
      <c r="AC275" s="3"/>
    </row>
    <row r="276" spans="26:29" ht="13">
      <c r="Z276" s="3"/>
      <c r="AA276" s="3"/>
      <c r="AB276" s="3"/>
      <c r="AC276" s="3"/>
    </row>
    <row r="277" spans="26:29" ht="13">
      <c r="Z277" s="3"/>
      <c r="AA277" s="3"/>
      <c r="AB277" s="3"/>
      <c r="AC277" s="3"/>
    </row>
    <row r="278" spans="26:29" ht="13">
      <c r="Z278" s="3"/>
      <c r="AA278" s="3"/>
      <c r="AB278" s="3"/>
      <c r="AC278" s="3"/>
    </row>
    <row r="279" spans="26:29" ht="13">
      <c r="Z279" s="3"/>
      <c r="AA279" s="3"/>
      <c r="AB279" s="3"/>
      <c r="AC279" s="3"/>
    </row>
    <row r="280" spans="26:29" ht="13">
      <c r="Z280" s="3"/>
      <c r="AA280" s="3"/>
      <c r="AB280" s="3"/>
      <c r="AC280" s="3"/>
    </row>
    <row r="281" spans="26:29" ht="13">
      <c r="Z281" s="3"/>
      <c r="AA281" s="3"/>
      <c r="AB281" s="3"/>
      <c r="AC281" s="3"/>
    </row>
    <row r="282" spans="26:29" ht="13">
      <c r="Z282" s="3"/>
      <c r="AA282" s="3"/>
      <c r="AB282" s="3"/>
      <c r="AC282" s="3"/>
    </row>
    <row r="283" spans="26:29" ht="13">
      <c r="Z283" s="3"/>
      <c r="AA283" s="3"/>
      <c r="AB283" s="3"/>
      <c r="AC283" s="3"/>
    </row>
    <row r="284" spans="26:29" ht="13">
      <c r="Z284" s="3"/>
      <c r="AA284" s="3"/>
      <c r="AB284" s="3"/>
      <c r="AC284" s="3"/>
    </row>
    <row r="285" spans="26:29" ht="13">
      <c r="Z285" s="3"/>
      <c r="AA285" s="3"/>
      <c r="AB285" s="3"/>
      <c r="AC285" s="3"/>
    </row>
    <row r="286" spans="26:29" ht="13">
      <c r="Z286" s="3"/>
      <c r="AA286" s="3"/>
      <c r="AB286" s="3"/>
      <c r="AC286" s="3"/>
    </row>
    <row r="287" spans="26:29" ht="13">
      <c r="Z287" s="3"/>
      <c r="AA287" s="3"/>
      <c r="AB287" s="3"/>
      <c r="AC287" s="3"/>
    </row>
    <row r="288" spans="26:29" ht="13">
      <c r="Z288" s="3"/>
      <c r="AA288" s="3"/>
      <c r="AB288" s="3"/>
      <c r="AC288" s="3"/>
    </row>
    <row r="289" spans="26:29" ht="13">
      <c r="Z289" s="3"/>
      <c r="AA289" s="3"/>
      <c r="AB289" s="3"/>
      <c r="AC289" s="3"/>
    </row>
    <row r="290" spans="26:29" ht="13">
      <c r="Z290" s="3"/>
      <c r="AA290" s="3"/>
      <c r="AB290" s="3"/>
      <c r="AC290" s="3"/>
    </row>
    <row r="291" spans="26:29" ht="13">
      <c r="Z291" s="3"/>
      <c r="AA291" s="3"/>
      <c r="AB291" s="3"/>
      <c r="AC291" s="3"/>
    </row>
    <row r="292" spans="26:29" ht="13">
      <c r="Z292" s="3"/>
      <c r="AA292" s="3"/>
      <c r="AB292" s="3"/>
      <c r="AC292" s="3"/>
    </row>
    <row r="293" spans="26:29" ht="13">
      <c r="Z293" s="3"/>
      <c r="AA293" s="3"/>
      <c r="AB293" s="3"/>
      <c r="AC293" s="3"/>
    </row>
    <row r="294" spans="26:29" ht="13">
      <c r="Z294" s="3"/>
      <c r="AA294" s="3"/>
      <c r="AB294" s="3"/>
      <c r="AC294" s="3"/>
    </row>
    <row r="295" spans="26:29" ht="13">
      <c r="Z295" s="3"/>
      <c r="AA295" s="3"/>
      <c r="AB295" s="3"/>
      <c r="AC295" s="3"/>
    </row>
    <row r="296" spans="26:29" ht="13">
      <c r="Z296" s="3"/>
      <c r="AA296" s="3"/>
      <c r="AB296" s="3"/>
      <c r="AC296" s="3"/>
    </row>
    <row r="297" spans="26:29" ht="13">
      <c r="Z297" s="3"/>
      <c r="AA297" s="3"/>
      <c r="AB297" s="3"/>
      <c r="AC297" s="3"/>
    </row>
    <row r="298" spans="26:29" ht="13">
      <c r="Z298" s="3"/>
      <c r="AA298" s="3"/>
      <c r="AB298" s="3"/>
      <c r="AC298" s="3"/>
    </row>
    <row r="299" spans="26:29" ht="13">
      <c r="Z299" s="3"/>
      <c r="AA299" s="3"/>
      <c r="AB299" s="3"/>
      <c r="AC299" s="3"/>
    </row>
    <row r="300" spans="26:29" ht="13">
      <c r="Z300" s="3"/>
      <c r="AA300" s="3"/>
      <c r="AB300" s="3"/>
      <c r="AC300" s="3"/>
    </row>
    <row r="301" spans="26:29" ht="13">
      <c r="Z301" s="3"/>
      <c r="AA301" s="3"/>
      <c r="AB301" s="3"/>
      <c r="AC301" s="3"/>
    </row>
    <row r="302" spans="26:29" ht="13">
      <c r="Z302" s="3"/>
      <c r="AA302" s="3"/>
      <c r="AB302" s="3"/>
      <c r="AC302" s="3"/>
    </row>
    <row r="303" spans="26:29" ht="13">
      <c r="Z303" s="3"/>
      <c r="AA303" s="3"/>
      <c r="AB303" s="3"/>
      <c r="AC303" s="3"/>
    </row>
    <row r="304" spans="26:29" ht="13">
      <c r="Z304" s="3"/>
      <c r="AA304" s="3"/>
      <c r="AB304" s="3"/>
      <c r="AC304" s="3"/>
    </row>
    <row r="305" spans="26:29" ht="13">
      <c r="Z305" s="3"/>
      <c r="AA305" s="3"/>
      <c r="AB305" s="3"/>
      <c r="AC305" s="3"/>
    </row>
    <row r="306" spans="26:29" ht="13">
      <c r="Z306" s="3"/>
      <c r="AA306" s="3"/>
      <c r="AB306" s="3"/>
      <c r="AC306" s="3"/>
    </row>
    <row r="307" spans="26:29" ht="13">
      <c r="Z307" s="3"/>
      <c r="AA307" s="3"/>
      <c r="AB307" s="3"/>
      <c r="AC307" s="3"/>
    </row>
    <row r="308" spans="26:29" ht="13">
      <c r="Z308" s="3"/>
      <c r="AA308" s="3"/>
      <c r="AB308" s="3"/>
      <c r="AC308" s="3"/>
    </row>
    <row r="309" spans="26:29" ht="13">
      <c r="Z309" s="3"/>
      <c r="AA309" s="3"/>
      <c r="AB309" s="3"/>
      <c r="AC309" s="3"/>
    </row>
    <row r="310" spans="26:29" ht="13">
      <c r="Z310" s="3"/>
      <c r="AA310" s="3"/>
      <c r="AB310" s="3"/>
      <c r="AC310" s="3"/>
    </row>
    <row r="311" spans="26:29" ht="13">
      <c r="Z311" s="3"/>
      <c r="AA311" s="3"/>
      <c r="AB311" s="3"/>
      <c r="AC311" s="3"/>
    </row>
    <row r="312" spans="26:29" ht="13">
      <c r="Z312" s="3"/>
      <c r="AA312" s="3"/>
      <c r="AB312" s="3"/>
      <c r="AC312" s="3"/>
    </row>
    <row r="313" spans="26:29" ht="13">
      <c r="Z313" s="3"/>
      <c r="AA313" s="3"/>
      <c r="AB313" s="3"/>
      <c r="AC313" s="3"/>
    </row>
    <row r="314" spans="26:29" ht="13">
      <c r="Z314" s="3"/>
      <c r="AA314" s="3"/>
      <c r="AB314" s="3"/>
      <c r="AC314" s="3"/>
    </row>
    <row r="315" spans="26:29" ht="13">
      <c r="Z315" s="3"/>
      <c r="AA315" s="3"/>
      <c r="AB315" s="3"/>
      <c r="AC315" s="3"/>
    </row>
    <row r="316" spans="26:29" ht="13">
      <c r="Z316" s="3"/>
      <c r="AA316" s="3"/>
      <c r="AB316" s="3"/>
      <c r="AC316" s="3"/>
    </row>
    <row r="317" spans="26:29" ht="13">
      <c r="Z317" s="3"/>
      <c r="AA317" s="3"/>
      <c r="AB317" s="3"/>
      <c r="AC317" s="3"/>
    </row>
    <row r="318" spans="26:29" ht="13">
      <c r="Z318" s="3"/>
      <c r="AA318" s="3"/>
      <c r="AB318" s="3"/>
      <c r="AC318" s="3"/>
    </row>
    <row r="319" spans="26:29" ht="13">
      <c r="Z319" s="3"/>
      <c r="AA319" s="3"/>
      <c r="AB319" s="3"/>
      <c r="AC319" s="3"/>
    </row>
    <row r="320" spans="26:29" ht="13">
      <c r="Z320" s="3"/>
      <c r="AA320" s="3"/>
      <c r="AB320" s="3"/>
      <c r="AC320" s="3"/>
    </row>
    <row r="321" spans="26:29" ht="13">
      <c r="Z321" s="3"/>
      <c r="AA321" s="3"/>
      <c r="AB321" s="3"/>
      <c r="AC321" s="3"/>
    </row>
    <row r="322" spans="26:29" ht="13">
      <c r="Z322" s="3"/>
      <c r="AA322" s="3"/>
      <c r="AB322" s="3"/>
      <c r="AC322" s="3"/>
    </row>
    <row r="323" spans="26:29" ht="13">
      <c r="Z323" s="3"/>
      <c r="AA323" s="3"/>
      <c r="AB323" s="3"/>
      <c r="AC323" s="3"/>
    </row>
    <row r="324" spans="26:29" ht="13">
      <c r="Z324" s="3"/>
      <c r="AA324" s="3"/>
      <c r="AB324" s="3"/>
      <c r="AC324" s="3"/>
    </row>
    <row r="325" spans="26:29" ht="13">
      <c r="Z325" s="3"/>
      <c r="AA325" s="3"/>
      <c r="AB325" s="3"/>
      <c r="AC325" s="3"/>
    </row>
    <row r="326" spans="26:29" ht="13">
      <c r="Z326" s="3"/>
      <c r="AA326" s="3"/>
      <c r="AB326" s="3"/>
      <c r="AC326" s="3"/>
    </row>
    <row r="327" spans="26:29" ht="13">
      <c r="Z327" s="3"/>
      <c r="AA327" s="3"/>
      <c r="AB327" s="3"/>
      <c r="AC327" s="3"/>
    </row>
    <row r="328" spans="26:29" ht="13">
      <c r="Z328" s="3"/>
      <c r="AA328" s="3"/>
      <c r="AB328" s="3"/>
      <c r="AC328" s="3"/>
    </row>
    <row r="329" spans="26:29" ht="13">
      <c r="Z329" s="3"/>
      <c r="AA329" s="3"/>
      <c r="AB329" s="3"/>
      <c r="AC329" s="3"/>
    </row>
    <row r="330" spans="26:29" ht="13">
      <c r="Z330" s="3"/>
      <c r="AA330" s="3"/>
      <c r="AB330" s="3"/>
      <c r="AC330" s="3"/>
    </row>
    <row r="331" spans="26:29" ht="13">
      <c r="Z331" s="3"/>
      <c r="AA331" s="3"/>
      <c r="AB331" s="3"/>
      <c r="AC331" s="3"/>
    </row>
    <row r="332" spans="26:29" ht="13">
      <c r="Z332" s="3"/>
      <c r="AA332" s="3"/>
      <c r="AB332" s="3"/>
      <c r="AC332" s="3"/>
    </row>
    <row r="333" spans="26:29" ht="13">
      <c r="Z333" s="3"/>
      <c r="AA333" s="3"/>
      <c r="AB333" s="3"/>
      <c r="AC333" s="3"/>
    </row>
    <row r="334" spans="26:29" ht="13">
      <c r="Z334" s="3"/>
      <c r="AA334" s="3"/>
      <c r="AB334" s="3"/>
      <c r="AC334" s="3"/>
    </row>
    <row r="335" spans="26:29" ht="13">
      <c r="Z335" s="3"/>
      <c r="AA335" s="3"/>
      <c r="AB335" s="3"/>
      <c r="AC335" s="3"/>
    </row>
    <row r="336" spans="26:29" ht="13">
      <c r="Z336" s="3"/>
      <c r="AA336" s="3"/>
      <c r="AB336" s="3"/>
      <c r="AC336" s="3"/>
    </row>
    <row r="337" spans="26:29" ht="13">
      <c r="Z337" s="3"/>
      <c r="AA337" s="3"/>
      <c r="AB337" s="3"/>
      <c r="AC337" s="3"/>
    </row>
    <row r="338" spans="26:29" ht="13">
      <c r="Z338" s="3"/>
      <c r="AA338" s="3"/>
      <c r="AB338" s="3"/>
      <c r="AC338" s="3"/>
    </row>
    <row r="339" spans="26:29" ht="13">
      <c r="Z339" s="3"/>
      <c r="AA339" s="3"/>
      <c r="AB339" s="3"/>
      <c r="AC339" s="3"/>
    </row>
    <row r="340" spans="26:29" ht="13">
      <c r="Z340" s="3"/>
      <c r="AA340" s="3"/>
      <c r="AB340" s="3"/>
      <c r="AC340" s="3"/>
    </row>
    <row r="341" spans="26:29" ht="13">
      <c r="Z341" s="3"/>
      <c r="AA341" s="3"/>
      <c r="AB341" s="3"/>
      <c r="AC341" s="3"/>
    </row>
    <row r="342" spans="26:29" ht="13">
      <c r="Z342" s="3"/>
      <c r="AA342" s="3"/>
      <c r="AB342" s="3"/>
      <c r="AC342" s="3"/>
    </row>
    <row r="343" spans="26:29" ht="13">
      <c r="Z343" s="3"/>
      <c r="AA343" s="3"/>
      <c r="AB343" s="3"/>
      <c r="AC343" s="3"/>
    </row>
    <row r="344" spans="26:29" ht="13">
      <c r="Z344" s="3"/>
      <c r="AA344" s="3"/>
      <c r="AB344" s="3"/>
      <c r="AC344" s="3"/>
    </row>
    <row r="345" spans="26:29" ht="13">
      <c r="Z345" s="3"/>
      <c r="AA345" s="3"/>
      <c r="AB345" s="3"/>
      <c r="AC345" s="3"/>
    </row>
    <row r="346" spans="26:29" ht="13">
      <c r="Z346" s="3"/>
      <c r="AA346" s="3"/>
      <c r="AB346" s="3"/>
      <c r="AC346" s="3"/>
    </row>
    <row r="347" spans="26:29" ht="13">
      <c r="Z347" s="3"/>
      <c r="AA347" s="3"/>
      <c r="AB347" s="3"/>
      <c r="AC347" s="3"/>
    </row>
    <row r="348" spans="26:29" ht="13">
      <c r="Z348" s="3"/>
      <c r="AA348" s="3"/>
      <c r="AB348" s="3"/>
      <c r="AC348" s="3"/>
    </row>
    <row r="349" spans="26:29" ht="13">
      <c r="Z349" s="3"/>
      <c r="AA349" s="3"/>
      <c r="AB349" s="3"/>
      <c r="AC349" s="3"/>
    </row>
    <row r="350" spans="26:29" ht="13">
      <c r="Z350" s="3"/>
      <c r="AA350" s="3"/>
      <c r="AB350" s="3"/>
      <c r="AC350" s="3"/>
    </row>
    <row r="351" spans="26:29" ht="13">
      <c r="Z351" s="3"/>
      <c r="AA351" s="3"/>
      <c r="AB351" s="3"/>
      <c r="AC351" s="3"/>
    </row>
    <row r="352" spans="26:29" ht="13">
      <c r="Z352" s="3"/>
      <c r="AA352" s="3"/>
      <c r="AB352" s="3"/>
      <c r="AC352" s="3"/>
    </row>
    <row r="353" spans="26:29" ht="13">
      <c r="Z353" s="3"/>
      <c r="AA353" s="3"/>
      <c r="AB353" s="3"/>
      <c r="AC353" s="3"/>
    </row>
    <row r="354" spans="26:29" ht="13">
      <c r="Z354" s="3"/>
      <c r="AA354" s="3"/>
      <c r="AB354" s="3"/>
      <c r="AC354" s="3"/>
    </row>
    <row r="355" spans="26:29" ht="13">
      <c r="Z355" s="3"/>
      <c r="AA355" s="3"/>
      <c r="AB355" s="3"/>
      <c r="AC355" s="3"/>
    </row>
    <row r="356" spans="26:29" ht="13">
      <c r="Z356" s="3"/>
      <c r="AA356" s="3"/>
      <c r="AB356" s="3"/>
      <c r="AC356" s="3"/>
    </row>
    <row r="357" spans="26:29" ht="13">
      <c r="Z357" s="3"/>
      <c r="AA357" s="3"/>
      <c r="AB357" s="3"/>
      <c r="AC357" s="3"/>
    </row>
    <row r="358" spans="26:29" ht="13">
      <c r="Z358" s="3"/>
      <c r="AA358" s="3"/>
      <c r="AB358" s="3"/>
      <c r="AC358" s="3"/>
    </row>
    <row r="359" spans="26:29" ht="13">
      <c r="Z359" s="3"/>
      <c r="AA359" s="3"/>
      <c r="AB359" s="3"/>
      <c r="AC359" s="3"/>
    </row>
    <row r="360" spans="26:29" ht="13">
      <c r="Z360" s="3"/>
      <c r="AA360" s="3"/>
      <c r="AB360" s="3"/>
      <c r="AC360" s="3"/>
    </row>
    <row r="361" spans="26:29" ht="13">
      <c r="Z361" s="3"/>
      <c r="AA361" s="3"/>
      <c r="AB361" s="3"/>
      <c r="AC361" s="3"/>
    </row>
    <row r="362" spans="26:29" ht="13">
      <c r="Z362" s="3"/>
      <c r="AA362" s="3"/>
      <c r="AB362" s="3"/>
      <c r="AC362" s="3"/>
    </row>
    <row r="363" spans="26:29" ht="13">
      <c r="Z363" s="3"/>
      <c r="AA363" s="3"/>
      <c r="AB363" s="3"/>
      <c r="AC363" s="3"/>
    </row>
    <row r="364" spans="26:29" ht="13">
      <c r="Z364" s="3"/>
      <c r="AA364" s="3"/>
      <c r="AB364" s="3"/>
      <c r="AC364" s="3"/>
    </row>
    <row r="365" spans="26:29" ht="13">
      <c r="Z365" s="3"/>
      <c r="AA365" s="3"/>
      <c r="AB365" s="3"/>
      <c r="AC365" s="3"/>
    </row>
    <row r="366" spans="26:29" ht="13">
      <c r="Z366" s="3"/>
      <c r="AA366" s="3"/>
      <c r="AB366" s="3"/>
      <c r="AC366" s="3"/>
    </row>
    <row r="367" spans="26:29" ht="13">
      <c r="Z367" s="3"/>
      <c r="AA367" s="3"/>
      <c r="AB367" s="3"/>
      <c r="AC367" s="3"/>
    </row>
    <row r="368" spans="26:29" ht="13">
      <c r="Z368" s="3"/>
      <c r="AA368" s="3"/>
      <c r="AB368" s="3"/>
      <c r="AC368" s="3"/>
    </row>
    <row r="369" spans="26:29" ht="13">
      <c r="Z369" s="3"/>
      <c r="AA369" s="3"/>
      <c r="AB369" s="3"/>
      <c r="AC369" s="3"/>
    </row>
    <row r="370" spans="26:29" ht="13">
      <c r="Z370" s="3"/>
      <c r="AA370" s="3"/>
      <c r="AB370" s="3"/>
      <c r="AC370" s="3"/>
    </row>
    <row r="371" spans="26:29" ht="13">
      <c r="Z371" s="3"/>
      <c r="AA371" s="3"/>
      <c r="AB371" s="3"/>
      <c r="AC371" s="3"/>
    </row>
    <row r="372" spans="26:29" ht="13">
      <c r="Z372" s="3"/>
      <c r="AA372" s="3"/>
      <c r="AB372" s="3"/>
      <c r="AC372" s="3"/>
    </row>
    <row r="373" spans="26:29" ht="13">
      <c r="Z373" s="3"/>
      <c r="AA373" s="3"/>
      <c r="AB373" s="3"/>
      <c r="AC373" s="3"/>
    </row>
    <row r="374" spans="26:29" ht="13">
      <c r="Z374" s="3"/>
      <c r="AA374" s="3"/>
      <c r="AB374" s="3"/>
      <c r="AC374" s="3"/>
    </row>
    <row r="375" spans="26:29" ht="13">
      <c r="Z375" s="3"/>
      <c r="AA375" s="3"/>
      <c r="AB375" s="3"/>
      <c r="AC375" s="3"/>
    </row>
    <row r="376" spans="26:29" ht="13">
      <c r="Z376" s="3"/>
      <c r="AA376" s="3"/>
      <c r="AB376" s="3"/>
      <c r="AC376" s="3"/>
    </row>
    <row r="377" spans="26:29" ht="13">
      <c r="Z377" s="3"/>
      <c r="AA377" s="3"/>
      <c r="AB377" s="3"/>
      <c r="AC377" s="3"/>
    </row>
    <row r="378" spans="26:29" ht="13">
      <c r="Z378" s="3"/>
      <c r="AA378" s="3"/>
      <c r="AB378" s="3"/>
      <c r="AC378" s="3"/>
    </row>
    <row r="379" spans="26:29" ht="13">
      <c r="Z379" s="3"/>
      <c r="AA379" s="3"/>
      <c r="AB379" s="3"/>
      <c r="AC379" s="3"/>
    </row>
    <row r="380" spans="26:29" ht="13">
      <c r="Z380" s="3"/>
      <c r="AA380" s="3"/>
      <c r="AB380" s="3"/>
      <c r="AC380" s="3"/>
    </row>
    <row r="381" spans="26:29" ht="13">
      <c r="Z381" s="3"/>
      <c r="AA381" s="3"/>
      <c r="AB381" s="3"/>
      <c r="AC381" s="3"/>
    </row>
    <row r="382" spans="26:29" ht="13">
      <c r="Z382" s="3"/>
      <c r="AA382" s="3"/>
      <c r="AB382" s="3"/>
      <c r="AC382" s="3"/>
    </row>
    <row r="383" spans="26:29" ht="13">
      <c r="Z383" s="3"/>
      <c r="AA383" s="3"/>
      <c r="AB383" s="3"/>
      <c r="AC383" s="3"/>
    </row>
    <row r="384" spans="26:29" ht="13">
      <c r="Z384" s="3"/>
      <c r="AA384" s="3"/>
      <c r="AB384" s="3"/>
      <c r="AC384" s="3"/>
    </row>
    <row r="385" spans="26:29" ht="13">
      <c r="Z385" s="3"/>
      <c r="AA385" s="3"/>
      <c r="AB385" s="3"/>
      <c r="AC385" s="3"/>
    </row>
    <row r="386" spans="26:29" ht="13">
      <c r="Z386" s="3"/>
      <c r="AA386" s="3"/>
      <c r="AB386" s="3"/>
      <c r="AC386" s="3"/>
    </row>
    <row r="387" spans="26:29" ht="13">
      <c r="Z387" s="3"/>
      <c r="AA387" s="3"/>
      <c r="AB387" s="3"/>
      <c r="AC387" s="3"/>
    </row>
    <row r="388" spans="26:29" ht="13">
      <c r="Z388" s="3"/>
      <c r="AA388" s="3"/>
      <c r="AB388" s="3"/>
      <c r="AC388" s="3"/>
    </row>
    <row r="389" spans="26:29" ht="13">
      <c r="Z389" s="3"/>
      <c r="AA389" s="3"/>
      <c r="AB389" s="3"/>
      <c r="AC389" s="3"/>
    </row>
    <row r="390" spans="26:29" ht="13">
      <c r="Z390" s="3"/>
      <c r="AA390" s="3"/>
      <c r="AB390" s="3"/>
      <c r="AC390" s="3"/>
    </row>
    <row r="391" spans="26:29" ht="13">
      <c r="Z391" s="3"/>
      <c r="AA391" s="3"/>
      <c r="AB391" s="3"/>
      <c r="AC391" s="3"/>
    </row>
    <row r="392" spans="26:29" ht="13">
      <c r="Z392" s="3"/>
      <c r="AA392" s="3"/>
      <c r="AB392" s="3"/>
      <c r="AC392" s="3"/>
    </row>
    <row r="393" spans="26:29" ht="13">
      <c r="Z393" s="3"/>
      <c r="AA393" s="3"/>
      <c r="AB393" s="3"/>
      <c r="AC393" s="3"/>
    </row>
    <row r="394" spans="26:29" ht="13">
      <c r="Z394" s="3"/>
      <c r="AA394" s="3"/>
      <c r="AB394" s="3"/>
      <c r="AC394" s="3"/>
    </row>
    <row r="395" spans="26:29" ht="13">
      <c r="Z395" s="3"/>
      <c r="AA395" s="3"/>
      <c r="AB395" s="3"/>
      <c r="AC395" s="3"/>
    </row>
    <row r="396" spans="26:29" ht="13">
      <c r="Z396" s="3"/>
      <c r="AA396" s="3"/>
      <c r="AB396" s="3"/>
      <c r="AC396" s="3"/>
    </row>
    <row r="397" spans="26:29" ht="13">
      <c r="Z397" s="3"/>
      <c r="AA397" s="3"/>
      <c r="AB397" s="3"/>
      <c r="AC397" s="3"/>
    </row>
    <row r="398" spans="26:29" ht="13">
      <c r="Z398" s="3"/>
      <c r="AA398" s="3"/>
      <c r="AB398" s="3"/>
      <c r="AC398" s="3"/>
    </row>
    <row r="399" spans="26:29" ht="13">
      <c r="Z399" s="3"/>
      <c r="AA399" s="3"/>
      <c r="AB399" s="3"/>
      <c r="AC399" s="3"/>
    </row>
    <row r="400" spans="26:29" ht="13">
      <c r="Z400" s="3"/>
      <c r="AA400" s="3"/>
      <c r="AB400" s="3"/>
      <c r="AC400" s="3"/>
    </row>
    <row r="401" spans="26:29" ht="13">
      <c r="Z401" s="3"/>
      <c r="AA401" s="3"/>
      <c r="AB401" s="3"/>
      <c r="AC401" s="3"/>
    </row>
    <row r="402" spans="26:29" ht="13">
      <c r="Z402" s="3"/>
      <c r="AA402" s="3"/>
      <c r="AB402" s="3"/>
      <c r="AC402" s="3"/>
    </row>
    <row r="403" spans="26:29" ht="13">
      <c r="Z403" s="3"/>
      <c r="AA403" s="3"/>
      <c r="AB403" s="3"/>
      <c r="AC403" s="3"/>
    </row>
    <row r="404" spans="26:29" ht="13">
      <c r="Z404" s="3"/>
      <c r="AA404" s="3"/>
      <c r="AB404" s="3"/>
      <c r="AC404" s="3"/>
    </row>
    <row r="405" spans="26:29" ht="13">
      <c r="Z405" s="3"/>
      <c r="AA405" s="3"/>
      <c r="AB405" s="3"/>
      <c r="AC405" s="3"/>
    </row>
    <row r="406" spans="26:29" ht="13">
      <c r="Z406" s="3"/>
      <c r="AA406" s="3"/>
      <c r="AB406" s="3"/>
      <c r="AC406" s="3"/>
    </row>
    <row r="407" spans="26:29" ht="13">
      <c r="Z407" s="3"/>
      <c r="AA407" s="3"/>
      <c r="AB407" s="3"/>
      <c r="AC407" s="3"/>
    </row>
    <row r="408" spans="26:29" ht="13">
      <c r="Z408" s="3"/>
      <c r="AA408" s="3"/>
      <c r="AB408" s="3"/>
      <c r="AC408" s="3"/>
    </row>
    <row r="409" spans="26:29" ht="13">
      <c r="Z409" s="3"/>
      <c r="AA409" s="3"/>
      <c r="AB409" s="3"/>
      <c r="AC409" s="3"/>
    </row>
    <row r="410" spans="26:29" ht="13">
      <c r="Z410" s="3"/>
      <c r="AA410" s="3"/>
      <c r="AB410" s="3"/>
      <c r="AC410" s="3"/>
    </row>
    <row r="411" spans="26:29" ht="13">
      <c r="Z411" s="3"/>
      <c r="AA411" s="3"/>
      <c r="AB411" s="3"/>
      <c r="AC411" s="3"/>
    </row>
    <row r="412" spans="26:29" ht="13">
      <c r="Z412" s="3"/>
      <c r="AA412" s="3"/>
      <c r="AB412" s="3"/>
      <c r="AC412" s="3"/>
    </row>
    <row r="413" spans="26:29" ht="13">
      <c r="Z413" s="3"/>
      <c r="AA413" s="3"/>
      <c r="AB413" s="3"/>
      <c r="AC413" s="3"/>
    </row>
    <row r="414" spans="26:29" ht="13">
      <c r="Z414" s="3"/>
      <c r="AA414" s="3"/>
      <c r="AB414" s="3"/>
      <c r="AC414" s="3"/>
    </row>
    <row r="415" spans="26:29" ht="13">
      <c r="Z415" s="3"/>
      <c r="AA415" s="3"/>
      <c r="AB415" s="3"/>
      <c r="AC415" s="3"/>
    </row>
    <row r="416" spans="26:29" ht="13">
      <c r="Z416" s="3"/>
      <c r="AA416" s="3"/>
      <c r="AB416" s="3"/>
      <c r="AC416" s="3"/>
    </row>
    <row r="417" spans="26:29" ht="13">
      <c r="Z417" s="3"/>
      <c r="AA417" s="3"/>
      <c r="AB417" s="3"/>
      <c r="AC417" s="3"/>
    </row>
    <row r="418" spans="26:29" ht="13">
      <c r="Z418" s="3"/>
      <c r="AA418" s="3"/>
      <c r="AB418" s="3"/>
      <c r="AC418" s="3"/>
    </row>
    <row r="419" spans="26:29" ht="13">
      <c r="Z419" s="3"/>
      <c r="AA419" s="3"/>
      <c r="AB419" s="3"/>
      <c r="AC419" s="3"/>
    </row>
    <row r="420" spans="26:29" ht="13">
      <c r="Z420" s="3"/>
      <c r="AA420" s="3"/>
      <c r="AB420" s="3"/>
      <c r="AC420" s="3"/>
    </row>
    <row r="421" spans="26:29" ht="13">
      <c r="Z421" s="3"/>
      <c r="AA421" s="3"/>
      <c r="AB421" s="3"/>
      <c r="AC421" s="3"/>
    </row>
    <row r="422" spans="26:29" ht="13">
      <c r="Z422" s="3"/>
      <c r="AA422" s="3"/>
      <c r="AB422" s="3"/>
      <c r="AC422" s="3"/>
    </row>
    <row r="423" spans="26:29" ht="13">
      <c r="Z423" s="3"/>
      <c r="AA423" s="3"/>
      <c r="AB423" s="3"/>
      <c r="AC423" s="3"/>
    </row>
    <row r="424" spans="26:29" ht="13">
      <c r="Z424" s="3"/>
      <c r="AA424" s="3"/>
      <c r="AB424" s="3"/>
      <c r="AC424" s="3"/>
    </row>
    <row r="425" spans="26:29" ht="13">
      <c r="Z425" s="3"/>
      <c r="AA425" s="3"/>
      <c r="AB425" s="3"/>
      <c r="AC425" s="3"/>
    </row>
    <row r="426" spans="26:29" ht="13">
      <c r="Z426" s="3"/>
      <c r="AA426" s="3"/>
      <c r="AB426" s="3"/>
      <c r="AC426" s="3"/>
    </row>
    <row r="427" spans="26:29" ht="13">
      <c r="Z427" s="3"/>
      <c r="AA427" s="3"/>
      <c r="AB427" s="3"/>
      <c r="AC427" s="3"/>
    </row>
    <row r="428" spans="26:29" ht="13">
      <c r="Z428" s="3"/>
      <c r="AA428" s="3"/>
      <c r="AB428" s="3"/>
      <c r="AC428" s="3"/>
    </row>
    <row r="429" spans="26:29" ht="13">
      <c r="Z429" s="3"/>
      <c r="AA429" s="3"/>
      <c r="AB429" s="3"/>
      <c r="AC429" s="3"/>
    </row>
    <row r="430" spans="26:29" ht="13">
      <c r="Z430" s="3"/>
      <c r="AA430" s="3"/>
      <c r="AB430" s="3"/>
      <c r="AC430" s="3"/>
    </row>
    <row r="431" spans="26:29" ht="13">
      <c r="Z431" s="3"/>
      <c r="AA431" s="3"/>
      <c r="AB431" s="3"/>
      <c r="AC431" s="3"/>
    </row>
    <row r="432" spans="26:29" ht="13">
      <c r="Z432" s="3"/>
      <c r="AA432" s="3"/>
      <c r="AB432" s="3"/>
      <c r="AC432" s="3"/>
    </row>
    <row r="433" spans="26:29" ht="13">
      <c r="Z433" s="3"/>
      <c r="AA433" s="3"/>
      <c r="AB433" s="3"/>
      <c r="AC433" s="3"/>
    </row>
    <row r="434" spans="26:29" ht="13">
      <c r="Z434" s="3"/>
      <c r="AA434" s="3"/>
      <c r="AB434" s="3"/>
      <c r="AC434" s="3"/>
    </row>
    <row r="435" spans="26:29" ht="13">
      <c r="Z435" s="3"/>
      <c r="AA435" s="3"/>
      <c r="AB435" s="3"/>
      <c r="AC435" s="3"/>
    </row>
    <row r="436" spans="26:29" ht="13">
      <c r="Z436" s="3"/>
      <c r="AA436" s="3"/>
      <c r="AB436" s="3"/>
      <c r="AC436" s="3"/>
    </row>
    <row r="437" spans="26:29" ht="13">
      <c r="Z437" s="3"/>
      <c r="AA437" s="3"/>
      <c r="AB437" s="3"/>
      <c r="AC437" s="3"/>
    </row>
    <row r="438" spans="26:29" ht="13">
      <c r="Z438" s="3"/>
      <c r="AA438" s="3"/>
      <c r="AB438" s="3"/>
      <c r="AC438" s="3"/>
    </row>
    <row r="439" spans="26:29" ht="13">
      <c r="Z439" s="3"/>
      <c r="AA439" s="3"/>
      <c r="AB439" s="3"/>
      <c r="AC439" s="3"/>
    </row>
    <row r="440" spans="26:29" ht="13">
      <c r="Z440" s="3"/>
      <c r="AA440" s="3"/>
      <c r="AB440" s="3"/>
      <c r="AC440" s="3"/>
    </row>
    <row r="441" spans="26:29" ht="13">
      <c r="Z441" s="3"/>
      <c r="AA441" s="3"/>
      <c r="AB441" s="3"/>
      <c r="AC441" s="3"/>
    </row>
    <row r="442" spans="26:29" ht="13">
      <c r="Z442" s="3"/>
      <c r="AA442" s="3"/>
      <c r="AB442" s="3"/>
      <c r="AC442" s="3"/>
    </row>
    <row r="443" spans="26:29" ht="13">
      <c r="Z443" s="3"/>
      <c r="AA443" s="3"/>
      <c r="AB443" s="3"/>
      <c r="AC443" s="3"/>
    </row>
    <row r="444" spans="26:29" ht="13">
      <c r="Z444" s="3"/>
      <c r="AA444" s="3"/>
      <c r="AB444" s="3"/>
      <c r="AC444" s="3"/>
    </row>
    <row r="445" spans="26:29" ht="13">
      <c r="Z445" s="3"/>
      <c r="AA445" s="3"/>
      <c r="AB445" s="3"/>
      <c r="AC445" s="3"/>
    </row>
    <row r="446" spans="26:29" ht="13">
      <c r="Z446" s="3"/>
      <c r="AA446" s="3"/>
      <c r="AB446" s="3"/>
      <c r="AC446" s="3"/>
    </row>
    <row r="447" spans="26:29" ht="13">
      <c r="Z447" s="3"/>
      <c r="AA447" s="3"/>
      <c r="AB447" s="3"/>
      <c r="AC447" s="3"/>
    </row>
    <row r="448" spans="26:29" ht="13">
      <c r="Z448" s="3"/>
      <c r="AA448" s="3"/>
      <c r="AB448" s="3"/>
      <c r="AC448" s="3"/>
    </row>
    <row r="449" spans="26:29" ht="13">
      <c r="Z449" s="3"/>
      <c r="AA449" s="3"/>
      <c r="AB449" s="3"/>
      <c r="AC449" s="3"/>
    </row>
    <row r="450" spans="26:29" ht="13">
      <c r="Z450" s="3"/>
      <c r="AA450" s="3"/>
      <c r="AB450" s="3"/>
      <c r="AC450" s="3"/>
    </row>
    <row r="451" spans="26:29" ht="13">
      <c r="Z451" s="3"/>
      <c r="AA451" s="3"/>
      <c r="AB451" s="3"/>
      <c r="AC451" s="3"/>
    </row>
    <row r="452" spans="26:29" ht="13">
      <c r="Z452" s="3"/>
      <c r="AA452" s="3"/>
      <c r="AB452" s="3"/>
      <c r="AC452" s="3"/>
    </row>
    <row r="453" spans="26:29" ht="13">
      <c r="Z453" s="3"/>
      <c r="AA453" s="3"/>
      <c r="AB453" s="3"/>
      <c r="AC453" s="3"/>
    </row>
    <row r="454" spans="26:29" ht="13">
      <c r="Z454" s="3"/>
      <c r="AA454" s="3"/>
      <c r="AB454" s="3"/>
      <c r="AC454" s="3"/>
    </row>
    <row r="455" spans="26:29" ht="13">
      <c r="Z455" s="3"/>
      <c r="AA455" s="3"/>
      <c r="AB455" s="3"/>
      <c r="AC455" s="3"/>
    </row>
    <row r="456" spans="26:29" ht="13">
      <c r="Z456" s="3"/>
      <c r="AA456" s="3"/>
      <c r="AB456" s="3"/>
      <c r="AC456" s="3"/>
    </row>
    <row r="457" spans="26:29" ht="13">
      <c r="Z457" s="3"/>
      <c r="AA457" s="3"/>
      <c r="AB457" s="3"/>
      <c r="AC457" s="3"/>
    </row>
    <row r="458" spans="26:29" ht="13">
      <c r="Z458" s="3"/>
      <c r="AA458" s="3"/>
      <c r="AB458" s="3"/>
      <c r="AC458" s="3"/>
    </row>
    <row r="459" spans="26:29" ht="13">
      <c r="Z459" s="3"/>
      <c r="AA459" s="3"/>
      <c r="AB459" s="3"/>
      <c r="AC459" s="3"/>
    </row>
    <row r="460" spans="26:29" ht="13">
      <c r="Z460" s="3"/>
      <c r="AA460" s="3"/>
      <c r="AB460" s="3"/>
      <c r="AC460" s="3"/>
    </row>
    <row r="461" spans="26:29" ht="13">
      <c r="Z461" s="3"/>
      <c r="AA461" s="3"/>
      <c r="AB461" s="3"/>
      <c r="AC461" s="3"/>
    </row>
    <row r="462" spans="26:29" ht="13">
      <c r="Z462" s="3"/>
      <c r="AA462" s="3"/>
      <c r="AB462" s="3"/>
      <c r="AC462" s="3"/>
    </row>
    <row r="463" spans="26:29" ht="13">
      <c r="Z463" s="3"/>
      <c r="AA463" s="3"/>
      <c r="AB463" s="3"/>
      <c r="AC463" s="3"/>
    </row>
    <row r="464" spans="26:29" ht="13">
      <c r="Z464" s="3"/>
      <c r="AA464" s="3"/>
      <c r="AB464" s="3"/>
      <c r="AC464" s="3"/>
    </row>
    <row r="465" spans="26:29" ht="13">
      <c r="Z465" s="3"/>
      <c r="AA465" s="3"/>
      <c r="AB465" s="3"/>
      <c r="AC465" s="3"/>
    </row>
    <row r="466" spans="26:29" ht="13">
      <c r="Z466" s="3"/>
      <c r="AA466" s="3"/>
      <c r="AB466" s="3"/>
      <c r="AC466" s="3"/>
    </row>
    <row r="467" spans="26:29" ht="13">
      <c r="Z467" s="3"/>
      <c r="AA467" s="3"/>
      <c r="AB467" s="3"/>
      <c r="AC467" s="3"/>
    </row>
    <row r="468" spans="26:29" ht="13">
      <c r="Z468" s="3"/>
      <c r="AA468" s="3"/>
      <c r="AB468" s="3"/>
      <c r="AC468" s="3"/>
    </row>
    <row r="469" spans="26:29" ht="13">
      <c r="Z469" s="3"/>
      <c r="AA469" s="3"/>
      <c r="AB469" s="3"/>
      <c r="AC469" s="3"/>
    </row>
    <row r="470" spans="26:29" ht="13">
      <c r="Z470" s="3"/>
      <c r="AA470" s="3"/>
      <c r="AB470" s="3"/>
      <c r="AC470" s="3"/>
    </row>
    <row r="471" spans="26:29" ht="13">
      <c r="Z471" s="3"/>
      <c r="AA471" s="3"/>
      <c r="AB471" s="3"/>
      <c r="AC471" s="3"/>
    </row>
    <row r="472" spans="26:29" ht="13">
      <c r="Z472" s="3"/>
      <c r="AA472" s="3"/>
      <c r="AB472" s="3"/>
      <c r="AC472" s="3"/>
    </row>
    <row r="473" spans="26:29" ht="13">
      <c r="Z473" s="3"/>
      <c r="AA473" s="3"/>
      <c r="AB473" s="3"/>
      <c r="AC473" s="3"/>
    </row>
    <row r="474" spans="26:29" ht="13">
      <c r="Z474" s="3"/>
      <c r="AA474" s="3"/>
      <c r="AB474" s="3"/>
      <c r="AC474" s="3"/>
    </row>
    <row r="475" spans="26:29" ht="13">
      <c r="Z475" s="3"/>
      <c r="AA475" s="3"/>
      <c r="AB475" s="3"/>
      <c r="AC475" s="3"/>
    </row>
    <row r="476" spans="26:29" ht="13">
      <c r="Z476" s="3"/>
      <c r="AA476" s="3"/>
      <c r="AB476" s="3"/>
      <c r="AC476" s="3"/>
    </row>
    <row r="477" spans="26:29" ht="13">
      <c r="Z477" s="3"/>
      <c r="AA477" s="3"/>
      <c r="AB477" s="3"/>
      <c r="AC477" s="3"/>
    </row>
    <row r="478" spans="26:29" ht="13">
      <c r="Z478" s="3"/>
      <c r="AA478" s="3"/>
      <c r="AB478" s="3"/>
      <c r="AC478" s="3"/>
    </row>
    <row r="479" spans="26:29" ht="13">
      <c r="Z479" s="3"/>
      <c r="AA479" s="3"/>
      <c r="AB479" s="3"/>
      <c r="AC479" s="3"/>
    </row>
    <row r="480" spans="26:29" ht="13">
      <c r="Z480" s="3"/>
      <c r="AA480" s="3"/>
      <c r="AB480" s="3"/>
      <c r="AC480" s="3"/>
    </row>
    <row r="481" spans="26:29" ht="13">
      <c r="Z481" s="3"/>
      <c r="AA481" s="3"/>
      <c r="AB481" s="3"/>
      <c r="AC481" s="3"/>
    </row>
    <row r="482" spans="26:29" ht="13">
      <c r="Z482" s="3"/>
      <c r="AA482" s="3"/>
      <c r="AB482" s="3"/>
      <c r="AC482" s="3"/>
    </row>
    <row r="483" spans="26:29" ht="13">
      <c r="Z483" s="3"/>
      <c r="AA483" s="3"/>
      <c r="AB483" s="3"/>
      <c r="AC483" s="3"/>
    </row>
    <row r="484" spans="26:29" ht="13">
      <c r="Z484" s="3"/>
      <c r="AA484" s="3"/>
      <c r="AB484" s="3"/>
      <c r="AC484" s="3"/>
    </row>
    <row r="485" spans="26:29" ht="13">
      <c r="Z485" s="3"/>
      <c r="AA485" s="3"/>
      <c r="AB485" s="3"/>
      <c r="AC485" s="3"/>
    </row>
    <row r="486" spans="26:29" ht="13">
      <c r="Z486" s="3"/>
      <c r="AA486" s="3"/>
      <c r="AB486" s="3"/>
      <c r="AC486" s="3"/>
    </row>
    <row r="487" spans="26:29" ht="13">
      <c r="Z487" s="3"/>
      <c r="AA487" s="3"/>
      <c r="AB487" s="3"/>
      <c r="AC487" s="3"/>
    </row>
    <row r="488" spans="26:29" ht="13">
      <c r="Z488" s="3"/>
      <c r="AA488" s="3"/>
      <c r="AB488" s="3"/>
      <c r="AC488" s="3"/>
    </row>
    <row r="489" spans="26:29" ht="13">
      <c r="Z489" s="3"/>
      <c r="AA489" s="3"/>
      <c r="AB489" s="3"/>
      <c r="AC489" s="3"/>
    </row>
    <row r="490" spans="26:29" ht="13">
      <c r="Z490" s="3"/>
      <c r="AA490" s="3"/>
      <c r="AB490" s="3"/>
      <c r="AC490" s="3"/>
    </row>
    <row r="491" spans="26:29" ht="13">
      <c r="Z491" s="3"/>
      <c r="AA491" s="3"/>
      <c r="AB491" s="3"/>
      <c r="AC491" s="3"/>
    </row>
    <row r="492" spans="26:29" ht="13">
      <c r="Z492" s="3"/>
      <c r="AA492" s="3"/>
      <c r="AB492" s="3"/>
      <c r="AC492" s="3"/>
    </row>
    <row r="493" spans="26:29" ht="13">
      <c r="Z493" s="3"/>
      <c r="AA493" s="3"/>
      <c r="AB493" s="3"/>
      <c r="AC493" s="3"/>
    </row>
    <row r="494" spans="26:29" ht="13">
      <c r="Z494" s="3"/>
      <c r="AA494" s="3"/>
      <c r="AB494" s="3"/>
      <c r="AC494" s="3"/>
    </row>
    <row r="495" spans="26:29" ht="13">
      <c r="Z495" s="3"/>
      <c r="AA495" s="3"/>
      <c r="AB495" s="3"/>
      <c r="AC495" s="3"/>
    </row>
    <row r="496" spans="26:29" ht="13">
      <c r="Z496" s="3"/>
      <c r="AA496" s="3"/>
      <c r="AB496" s="3"/>
      <c r="AC496" s="3"/>
    </row>
    <row r="497" spans="26:29" ht="13">
      <c r="Z497" s="3"/>
      <c r="AA497" s="3"/>
      <c r="AB497" s="3"/>
      <c r="AC497" s="3"/>
    </row>
    <row r="498" spans="26:29" ht="13">
      <c r="Z498" s="3"/>
      <c r="AA498" s="3"/>
      <c r="AB498" s="3"/>
      <c r="AC498" s="3"/>
    </row>
    <row r="499" spans="26:29" ht="13">
      <c r="Z499" s="3"/>
      <c r="AA499" s="3"/>
      <c r="AB499" s="3"/>
      <c r="AC499" s="3"/>
    </row>
    <row r="500" spans="26:29" ht="13">
      <c r="Z500" s="3"/>
      <c r="AA500" s="3"/>
      <c r="AB500" s="3"/>
      <c r="AC500" s="3"/>
    </row>
    <row r="501" spans="26:29" ht="13">
      <c r="Z501" s="3"/>
      <c r="AA501" s="3"/>
      <c r="AB501" s="3"/>
      <c r="AC501" s="3"/>
    </row>
    <row r="502" spans="26:29" ht="13">
      <c r="Z502" s="3"/>
      <c r="AA502" s="3"/>
      <c r="AB502" s="3"/>
      <c r="AC502" s="3"/>
    </row>
    <row r="503" spans="26:29" ht="13">
      <c r="Z503" s="3"/>
      <c r="AA503" s="3"/>
      <c r="AB503" s="3"/>
      <c r="AC503" s="3"/>
    </row>
    <row r="504" spans="26:29" ht="13">
      <c r="Z504" s="3"/>
      <c r="AA504" s="3"/>
      <c r="AB504" s="3"/>
      <c r="AC504" s="3"/>
    </row>
    <row r="505" spans="26:29" ht="13">
      <c r="Z505" s="3"/>
      <c r="AA505" s="3"/>
      <c r="AB505" s="3"/>
      <c r="AC505" s="3"/>
    </row>
    <row r="506" spans="26:29" ht="13">
      <c r="Z506" s="3"/>
      <c r="AA506" s="3"/>
      <c r="AB506" s="3"/>
      <c r="AC506" s="3"/>
    </row>
    <row r="507" spans="26:29" ht="13">
      <c r="Z507" s="3"/>
      <c r="AA507" s="3"/>
      <c r="AB507" s="3"/>
      <c r="AC507" s="3"/>
    </row>
    <row r="508" spans="26:29" ht="13">
      <c r="Z508" s="3"/>
      <c r="AA508" s="3"/>
      <c r="AB508" s="3"/>
      <c r="AC508" s="3"/>
    </row>
    <row r="509" spans="26:29" ht="13">
      <c r="Z509" s="3"/>
      <c r="AA509" s="3"/>
      <c r="AB509" s="3"/>
      <c r="AC509" s="3"/>
    </row>
    <row r="510" spans="26:29" ht="13">
      <c r="Z510" s="3"/>
      <c r="AA510" s="3"/>
      <c r="AB510" s="3"/>
      <c r="AC510" s="3"/>
    </row>
    <row r="511" spans="26:29" ht="13">
      <c r="Z511" s="3"/>
      <c r="AA511" s="3"/>
      <c r="AB511" s="3"/>
      <c r="AC511" s="3"/>
    </row>
    <row r="512" spans="26:29" ht="13">
      <c r="Z512" s="3"/>
      <c r="AA512" s="3"/>
      <c r="AB512" s="3"/>
      <c r="AC512" s="3"/>
    </row>
    <row r="513" spans="26:29" ht="13">
      <c r="Z513" s="3"/>
      <c r="AA513" s="3"/>
      <c r="AB513" s="3"/>
      <c r="AC513" s="3"/>
    </row>
    <row r="514" spans="26:29" ht="13">
      <c r="Z514" s="3"/>
      <c r="AA514" s="3"/>
      <c r="AB514" s="3"/>
      <c r="AC514" s="3"/>
    </row>
    <row r="515" spans="26:29" ht="13">
      <c r="Z515" s="3"/>
      <c r="AA515" s="3"/>
      <c r="AB515" s="3"/>
      <c r="AC515" s="3"/>
    </row>
    <row r="516" spans="26:29" ht="13">
      <c r="Z516" s="3"/>
      <c r="AA516" s="3"/>
      <c r="AB516" s="3"/>
      <c r="AC516" s="3"/>
    </row>
    <row r="517" spans="26:29" ht="13">
      <c r="Z517" s="3"/>
      <c r="AA517" s="3"/>
      <c r="AB517" s="3"/>
      <c r="AC517" s="3"/>
    </row>
    <row r="518" spans="26:29" ht="13">
      <c r="Z518" s="3"/>
      <c r="AA518" s="3"/>
      <c r="AB518" s="3"/>
      <c r="AC518" s="3"/>
    </row>
    <row r="519" spans="26:29" ht="13">
      <c r="Z519" s="3"/>
      <c r="AA519" s="3"/>
      <c r="AB519" s="3"/>
      <c r="AC519" s="3"/>
    </row>
    <row r="520" spans="26:29" ht="13">
      <c r="Z520" s="3"/>
      <c r="AA520" s="3"/>
      <c r="AB520" s="3"/>
      <c r="AC520" s="3"/>
    </row>
    <row r="521" spans="26:29" ht="13">
      <c r="Z521" s="3"/>
      <c r="AA521" s="3"/>
      <c r="AB521" s="3"/>
      <c r="AC521" s="3"/>
    </row>
    <row r="522" spans="26:29" ht="13">
      <c r="Z522" s="3"/>
      <c r="AA522" s="3"/>
      <c r="AB522" s="3"/>
      <c r="AC522" s="3"/>
    </row>
    <row r="523" spans="26:29" ht="13">
      <c r="Z523" s="3"/>
      <c r="AA523" s="3"/>
      <c r="AB523" s="3"/>
      <c r="AC523" s="3"/>
    </row>
    <row r="524" spans="26:29" ht="13">
      <c r="Z524" s="3"/>
      <c r="AA524" s="3"/>
      <c r="AB524" s="3"/>
      <c r="AC524" s="3"/>
    </row>
    <row r="525" spans="26:29" ht="13">
      <c r="Z525" s="3"/>
      <c r="AA525" s="3"/>
      <c r="AB525" s="3"/>
      <c r="AC525" s="3"/>
    </row>
    <row r="526" spans="26:29" ht="13">
      <c r="Z526" s="3"/>
      <c r="AA526" s="3"/>
      <c r="AB526" s="3"/>
      <c r="AC526" s="3"/>
    </row>
    <row r="527" spans="26:29" ht="13">
      <c r="Z527" s="3"/>
      <c r="AA527" s="3"/>
      <c r="AB527" s="3"/>
      <c r="AC527" s="3"/>
    </row>
    <row r="528" spans="26:29" ht="13">
      <c r="Z528" s="3"/>
      <c r="AA528" s="3"/>
      <c r="AB528" s="3"/>
      <c r="AC528" s="3"/>
    </row>
    <row r="529" spans="26:29" ht="13">
      <c r="Z529" s="3"/>
      <c r="AA529" s="3"/>
      <c r="AB529" s="3"/>
      <c r="AC529" s="3"/>
    </row>
    <row r="530" spans="26:29" ht="13">
      <c r="Z530" s="3"/>
      <c r="AA530" s="3"/>
      <c r="AB530" s="3"/>
      <c r="AC530" s="3"/>
    </row>
    <row r="531" spans="26:29" ht="13">
      <c r="Z531" s="3"/>
      <c r="AA531" s="3"/>
      <c r="AB531" s="3"/>
      <c r="AC531" s="3"/>
    </row>
    <row r="532" spans="26:29" ht="13">
      <c r="Z532" s="3"/>
      <c r="AA532" s="3"/>
      <c r="AB532" s="3"/>
      <c r="AC532" s="3"/>
    </row>
    <row r="533" spans="26:29" ht="13">
      <c r="Z533" s="3"/>
      <c r="AA533" s="3"/>
      <c r="AB533" s="3"/>
      <c r="AC533" s="3"/>
    </row>
    <row r="534" spans="26:29" ht="13">
      <c r="Z534" s="3"/>
      <c r="AA534" s="3"/>
      <c r="AB534" s="3"/>
      <c r="AC534" s="3"/>
    </row>
    <row r="535" spans="26:29" ht="13">
      <c r="Z535" s="3"/>
      <c r="AA535" s="3"/>
      <c r="AB535" s="3"/>
      <c r="AC535" s="3"/>
    </row>
    <row r="536" spans="26:29" ht="13">
      <c r="Z536" s="3"/>
      <c r="AA536" s="3"/>
      <c r="AB536" s="3"/>
      <c r="AC536" s="3"/>
    </row>
    <row r="537" spans="26:29" ht="13">
      <c r="Z537" s="3"/>
      <c r="AA537" s="3"/>
      <c r="AB537" s="3"/>
      <c r="AC537" s="3"/>
    </row>
    <row r="538" spans="26:29" ht="13">
      <c r="Z538" s="3"/>
      <c r="AA538" s="3"/>
      <c r="AB538" s="3"/>
      <c r="AC538" s="3"/>
    </row>
    <row r="539" spans="26:29" ht="13">
      <c r="Z539" s="3"/>
      <c r="AA539" s="3"/>
      <c r="AB539" s="3"/>
      <c r="AC539" s="3"/>
    </row>
    <row r="540" spans="26:29" ht="13">
      <c r="Z540" s="3"/>
      <c r="AA540" s="3"/>
      <c r="AB540" s="3"/>
      <c r="AC540" s="3"/>
    </row>
    <row r="541" spans="26:29" ht="13">
      <c r="Z541" s="3"/>
      <c r="AA541" s="3"/>
      <c r="AB541" s="3"/>
      <c r="AC541" s="3"/>
    </row>
    <row r="542" spans="26:29" ht="13">
      <c r="Z542" s="3"/>
      <c r="AA542" s="3"/>
      <c r="AB542" s="3"/>
      <c r="AC542" s="3"/>
    </row>
    <row r="543" spans="26:29" ht="13">
      <c r="Z543" s="3"/>
      <c r="AA543" s="3"/>
      <c r="AB543" s="3"/>
      <c r="AC543" s="3"/>
    </row>
    <row r="544" spans="26:29" ht="13">
      <c r="Z544" s="3"/>
      <c r="AA544" s="3"/>
      <c r="AB544" s="3"/>
      <c r="AC544" s="3"/>
    </row>
    <row r="545" spans="26:29" ht="13">
      <c r="Z545" s="3"/>
      <c r="AA545" s="3"/>
      <c r="AB545" s="3"/>
      <c r="AC545" s="3"/>
    </row>
    <row r="546" spans="26:29" ht="13">
      <c r="Z546" s="3"/>
      <c r="AA546" s="3"/>
      <c r="AB546" s="3"/>
      <c r="AC546" s="3"/>
    </row>
    <row r="547" spans="26:29" ht="13">
      <c r="Z547" s="3"/>
      <c r="AA547" s="3"/>
      <c r="AB547" s="3"/>
      <c r="AC547" s="3"/>
    </row>
    <row r="548" spans="26:29" ht="13">
      <c r="Z548" s="3"/>
      <c r="AA548" s="3"/>
      <c r="AB548" s="3"/>
      <c r="AC548" s="3"/>
    </row>
    <row r="549" spans="26:29" ht="13">
      <c r="Z549" s="3"/>
      <c r="AA549" s="3"/>
      <c r="AB549" s="3"/>
      <c r="AC549" s="3"/>
    </row>
    <row r="550" spans="26:29" ht="13">
      <c r="Z550" s="3"/>
      <c r="AA550" s="3"/>
      <c r="AB550" s="3"/>
      <c r="AC550" s="3"/>
    </row>
    <row r="551" spans="26:29" ht="13">
      <c r="Z551" s="3"/>
      <c r="AA551" s="3"/>
      <c r="AB551" s="3"/>
      <c r="AC551" s="3"/>
    </row>
    <row r="552" spans="26:29" ht="13">
      <c r="Z552" s="3"/>
      <c r="AA552" s="3"/>
      <c r="AB552" s="3"/>
      <c r="AC552" s="3"/>
    </row>
    <row r="553" spans="26:29" ht="13">
      <c r="Z553" s="3"/>
      <c r="AA553" s="3"/>
      <c r="AB553" s="3"/>
      <c r="AC553" s="3"/>
    </row>
    <row r="554" spans="26:29" ht="13">
      <c r="Z554" s="3"/>
      <c r="AA554" s="3"/>
      <c r="AB554" s="3"/>
      <c r="AC554" s="3"/>
    </row>
    <row r="555" spans="26:29" ht="13">
      <c r="Z555" s="3"/>
      <c r="AA555" s="3"/>
      <c r="AB555" s="3"/>
      <c r="AC555" s="3"/>
    </row>
    <row r="556" spans="26:29" ht="13">
      <c r="Z556" s="3"/>
      <c r="AA556" s="3"/>
      <c r="AB556" s="3"/>
      <c r="AC556" s="3"/>
    </row>
    <row r="557" spans="26:29" ht="13">
      <c r="Z557" s="3"/>
      <c r="AA557" s="3"/>
      <c r="AB557" s="3"/>
      <c r="AC557" s="3"/>
    </row>
    <row r="558" spans="26:29" ht="13">
      <c r="Z558" s="3"/>
      <c r="AA558" s="3"/>
      <c r="AB558" s="3"/>
      <c r="AC558" s="3"/>
    </row>
    <row r="559" spans="26:29" ht="13">
      <c r="Z559" s="3"/>
      <c r="AA559" s="3"/>
      <c r="AB559" s="3"/>
      <c r="AC559" s="3"/>
    </row>
    <row r="560" spans="26:29" ht="13">
      <c r="Z560" s="3"/>
      <c r="AA560" s="3"/>
      <c r="AB560" s="3"/>
      <c r="AC560" s="3"/>
    </row>
    <row r="561" spans="26:29" ht="13">
      <c r="Z561" s="3"/>
      <c r="AA561" s="3"/>
      <c r="AB561" s="3"/>
      <c r="AC561" s="3"/>
    </row>
    <row r="562" spans="26:29" ht="13">
      <c r="Z562" s="3"/>
      <c r="AA562" s="3"/>
      <c r="AB562" s="3"/>
      <c r="AC562" s="3"/>
    </row>
    <row r="563" spans="26:29" ht="13">
      <c r="Z563" s="3"/>
      <c r="AA563" s="3"/>
      <c r="AB563" s="3"/>
      <c r="AC563" s="3"/>
    </row>
    <row r="564" spans="26:29" ht="13">
      <c r="Z564" s="3"/>
      <c r="AA564" s="3"/>
      <c r="AB564" s="3"/>
      <c r="AC564" s="3"/>
    </row>
    <row r="565" spans="26:29" ht="13">
      <c r="Z565" s="3"/>
      <c r="AA565" s="3"/>
      <c r="AB565" s="3"/>
      <c r="AC565" s="3"/>
    </row>
    <row r="566" spans="26:29" ht="13">
      <c r="Z566" s="3"/>
      <c r="AA566" s="3"/>
      <c r="AB566" s="3"/>
      <c r="AC566" s="3"/>
    </row>
    <row r="567" spans="26:29" ht="13">
      <c r="Z567" s="3"/>
      <c r="AA567" s="3"/>
      <c r="AB567" s="3"/>
      <c r="AC567" s="3"/>
    </row>
    <row r="568" spans="26:29" ht="13">
      <c r="Z568" s="3"/>
      <c r="AA568" s="3"/>
      <c r="AB568" s="3"/>
      <c r="AC568" s="3"/>
    </row>
    <row r="569" spans="26:29" ht="13">
      <c r="Z569" s="3"/>
      <c r="AA569" s="3"/>
      <c r="AB569" s="3"/>
      <c r="AC569" s="3"/>
    </row>
    <row r="570" spans="26:29" ht="13">
      <c r="Z570" s="3"/>
      <c r="AA570" s="3"/>
      <c r="AB570" s="3"/>
      <c r="AC570" s="3"/>
    </row>
    <row r="571" spans="26:29" ht="13">
      <c r="Z571" s="3"/>
      <c r="AA571" s="3"/>
      <c r="AB571" s="3"/>
      <c r="AC571" s="3"/>
    </row>
    <row r="572" spans="26:29" ht="13">
      <c r="Z572" s="3"/>
      <c r="AA572" s="3"/>
      <c r="AB572" s="3"/>
      <c r="AC572" s="3"/>
    </row>
    <row r="573" spans="26:29" ht="13">
      <c r="Z573" s="3"/>
      <c r="AA573" s="3"/>
      <c r="AB573" s="3"/>
      <c r="AC573" s="3"/>
    </row>
    <row r="574" spans="26:29" ht="13">
      <c r="Z574" s="3"/>
      <c r="AA574" s="3"/>
      <c r="AB574" s="3"/>
      <c r="AC574" s="3"/>
    </row>
    <row r="575" spans="26:29" ht="13">
      <c r="Z575" s="3"/>
      <c r="AA575" s="3"/>
      <c r="AB575" s="3"/>
      <c r="AC575" s="3"/>
    </row>
    <row r="576" spans="26:29" ht="13">
      <c r="Z576" s="3"/>
      <c r="AA576" s="3"/>
      <c r="AB576" s="3"/>
      <c r="AC576" s="3"/>
    </row>
    <row r="577" spans="26:29" ht="13">
      <c r="Z577" s="3"/>
      <c r="AA577" s="3"/>
      <c r="AB577" s="3"/>
      <c r="AC577" s="3"/>
    </row>
    <row r="578" spans="26:29" ht="13">
      <c r="Z578" s="3"/>
      <c r="AA578" s="3"/>
      <c r="AB578" s="3"/>
      <c r="AC578" s="3"/>
    </row>
    <row r="579" spans="26:29" ht="13">
      <c r="Z579" s="3"/>
      <c r="AA579" s="3"/>
      <c r="AB579" s="3"/>
      <c r="AC579" s="3"/>
    </row>
    <row r="580" spans="26:29" ht="13">
      <c r="Z580" s="3"/>
      <c r="AA580" s="3"/>
      <c r="AB580" s="3"/>
      <c r="AC580" s="3"/>
    </row>
    <row r="581" spans="26:29" ht="13">
      <c r="Z581" s="3"/>
      <c r="AA581" s="3"/>
      <c r="AB581" s="3"/>
      <c r="AC581" s="3"/>
    </row>
    <row r="582" spans="26:29" ht="13">
      <c r="Z582" s="3"/>
      <c r="AA582" s="3"/>
      <c r="AB582" s="3"/>
      <c r="AC582" s="3"/>
    </row>
    <row r="583" spans="26:29" ht="13">
      <c r="Z583" s="3"/>
      <c r="AA583" s="3"/>
      <c r="AB583" s="3"/>
      <c r="AC583" s="3"/>
    </row>
    <row r="584" spans="26:29" ht="13">
      <c r="Z584" s="3"/>
      <c r="AA584" s="3"/>
      <c r="AB584" s="3"/>
      <c r="AC584" s="3"/>
    </row>
    <row r="585" spans="26:29" ht="13">
      <c r="Z585" s="3"/>
      <c r="AA585" s="3"/>
      <c r="AB585" s="3"/>
      <c r="AC585" s="3"/>
    </row>
    <row r="586" spans="26:29" ht="13">
      <c r="Z586" s="3"/>
      <c r="AA586" s="3"/>
      <c r="AB586" s="3"/>
      <c r="AC586" s="3"/>
    </row>
    <row r="587" spans="26:29" ht="13">
      <c r="Z587" s="3"/>
      <c r="AA587" s="3"/>
      <c r="AB587" s="3"/>
      <c r="AC587" s="3"/>
    </row>
    <row r="588" spans="26:29" ht="13">
      <c r="Z588" s="3"/>
      <c r="AA588" s="3"/>
      <c r="AB588" s="3"/>
      <c r="AC588" s="3"/>
    </row>
    <row r="589" spans="26:29" ht="13">
      <c r="Z589" s="3"/>
      <c r="AA589" s="3"/>
      <c r="AB589" s="3"/>
      <c r="AC589" s="3"/>
    </row>
    <row r="590" spans="26:29" ht="13">
      <c r="Z590" s="3"/>
      <c r="AA590" s="3"/>
      <c r="AB590" s="3"/>
      <c r="AC590" s="3"/>
    </row>
    <row r="591" spans="26:29" ht="13">
      <c r="Z591" s="3"/>
      <c r="AA591" s="3"/>
      <c r="AB591" s="3"/>
      <c r="AC591" s="3"/>
    </row>
    <row r="592" spans="26:29" ht="13">
      <c r="Z592" s="3"/>
      <c r="AA592" s="3"/>
      <c r="AB592" s="3"/>
      <c r="AC592" s="3"/>
    </row>
    <row r="593" spans="26:29" ht="13">
      <c r="Z593" s="3"/>
      <c r="AA593" s="3"/>
      <c r="AB593" s="3"/>
      <c r="AC593" s="3"/>
    </row>
    <row r="594" spans="26:29" ht="13">
      <c r="Z594" s="3"/>
      <c r="AA594" s="3"/>
      <c r="AB594" s="3"/>
      <c r="AC594" s="3"/>
    </row>
    <row r="595" spans="26:29" ht="13">
      <c r="Z595" s="3"/>
      <c r="AA595" s="3"/>
      <c r="AB595" s="3"/>
      <c r="AC595" s="3"/>
    </row>
    <row r="596" spans="26:29" ht="13">
      <c r="Z596" s="3"/>
      <c r="AA596" s="3"/>
      <c r="AB596" s="3"/>
      <c r="AC596" s="3"/>
    </row>
    <row r="597" spans="26:29" ht="13">
      <c r="Z597" s="3"/>
      <c r="AA597" s="3"/>
      <c r="AB597" s="3"/>
      <c r="AC597" s="3"/>
    </row>
    <row r="598" spans="26:29" ht="13">
      <c r="Z598" s="3"/>
      <c r="AA598" s="3"/>
      <c r="AB598" s="3"/>
      <c r="AC598" s="3"/>
    </row>
    <row r="599" spans="26:29" ht="13">
      <c r="Z599" s="3"/>
      <c r="AA599" s="3"/>
      <c r="AB599" s="3"/>
      <c r="AC599" s="3"/>
    </row>
    <row r="600" spans="26:29" ht="13">
      <c r="Z600" s="3"/>
      <c r="AA600" s="3"/>
      <c r="AB600" s="3"/>
      <c r="AC600" s="3"/>
    </row>
    <row r="601" spans="26:29" ht="13">
      <c r="Z601" s="3"/>
      <c r="AA601" s="3"/>
      <c r="AB601" s="3"/>
      <c r="AC601" s="3"/>
    </row>
    <row r="602" spans="26:29" ht="13">
      <c r="Z602" s="3"/>
      <c r="AA602" s="3"/>
      <c r="AB602" s="3"/>
      <c r="AC602" s="3"/>
    </row>
    <row r="603" spans="26:29" ht="13">
      <c r="Z603" s="3"/>
      <c r="AA603" s="3"/>
      <c r="AB603" s="3"/>
      <c r="AC603" s="3"/>
    </row>
    <row r="604" spans="26:29" ht="13">
      <c r="Z604" s="3"/>
      <c r="AA604" s="3"/>
      <c r="AB604" s="3"/>
      <c r="AC604" s="3"/>
    </row>
    <row r="605" spans="26:29" ht="13">
      <c r="Z605" s="3"/>
      <c r="AA605" s="3"/>
      <c r="AB605" s="3"/>
      <c r="AC605" s="3"/>
    </row>
    <row r="606" spans="26:29" ht="13">
      <c r="Z606" s="3"/>
      <c r="AA606" s="3"/>
      <c r="AB606" s="3"/>
      <c r="AC606" s="3"/>
    </row>
    <row r="607" spans="26:29" ht="13">
      <c r="Z607" s="3"/>
      <c r="AA607" s="3"/>
      <c r="AB607" s="3"/>
      <c r="AC607" s="3"/>
    </row>
    <row r="608" spans="26:29" ht="13">
      <c r="Z608" s="3"/>
      <c r="AA608" s="3"/>
      <c r="AB608" s="3"/>
      <c r="AC608" s="3"/>
    </row>
    <row r="609" spans="26:29" ht="13">
      <c r="Z609" s="3"/>
      <c r="AA609" s="3"/>
      <c r="AB609" s="3"/>
      <c r="AC609" s="3"/>
    </row>
    <row r="610" spans="26:29" ht="13">
      <c r="Z610" s="3"/>
      <c r="AA610" s="3"/>
      <c r="AB610" s="3"/>
      <c r="AC610" s="3"/>
    </row>
    <row r="611" spans="26:29" ht="13">
      <c r="Z611" s="3"/>
      <c r="AA611" s="3"/>
      <c r="AB611" s="3"/>
      <c r="AC611" s="3"/>
    </row>
    <row r="612" spans="26:29" ht="13">
      <c r="Z612" s="3"/>
      <c r="AA612" s="3"/>
      <c r="AB612" s="3"/>
      <c r="AC612" s="3"/>
    </row>
    <row r="613" spans="26:29" ht="13">
      <c r="Z613" s="3"/>
      <c r="AA613" s="3"/>
      <c r="AB613" s="3"/>
      <c r="AC613" s="3"/>
    </row>
    <row r="614" spans="26:29" ht="13">
      <c r="Z614" s="3"/>
      <c r="AA614" s="3"/>
      <c r="AB614" s="3"/>
      <c r="AC614" s="3"/>
    </row>
    <row r="615" spans="26:29" ht="13">
      <c r="Z615" s="3"/>
      <c r="AA615" s="3"/>
      <c r="AB615" s="3"/>
      <c r="AC615" s="3"/>
    </row>
    <row r="616" spans="26:29" ht="13">
      <c r="Z616" s="3"/>
      <c r="AA616" s="3"/>
      <c r="AB616" s="3"/>
      <c r="AC616" s="3"/>
    </row>
    <row r="617" spans="26:29" ht="13">
      <c r="Z617" s="3"/>
      <c r="AA617" s="3"/>
      <c r="AB617" s="3"/>
      <c r="AC617" s="3"/>
    </row>
    <row r="618" spans="26:29" ht="13">
      <c r="Z618" s="3"/>
      <c r="AA618" s="3"/>
      <c r="AB618" s="3"/>
      <c r="AC618" s="3"/>
    </row>
    <row r="619" spans="26:29" ht="13">
      <c r="Z619" s="3"/>
      <c r="AA619" s="3"/>
      <c r="AB619" s="3"/>
      <c r="AC619" s="3"/>
    </row>
    <row r="620" spans="26:29" ht="13">
      <c r="Z620" s="3"/>
      <c r="AA620" s="3"/>
      <c r="AB620" s="3"/>
      <c r="AC620" s="3"/>
    </row>
    <row r="621" spans="26:29" ht="13">
      <c r="Z621" s="3"/>
      <c r="AA621" s="3"/>
      <c r="AB621" s="3"/>
      <c r="AC621" s="3"/>
    </row>
    <row r="622" spans="26:29" ht="13">
      <c r="Z622" s="3"/>
      <c r="AA622" s="3"/>
      <c r="AB622" s="3"/>
      <c r="AC622" s="3"/>
    </row>
    <row r="623" spans="26:29" ht="13">
      <c r="Z623" s="3"/>
      <c r="AA623" s="3"/>
      <c r="AB623" s="3"/>
      <c r="AC623" s="3"/>
    </row>
    <row r="624" spans="26:29" ht="13">
      <c r="Z624" s="3"/>
      <c r="AA624" s="3"/>
      <c r="AB624" s="3"/>
      <c r="AC624" s="3"/>
    </row>
    <row r="625" spans="26:29" ht="13">
      <c r="Z625" s="3"/>
      <c r="AA625" s="3"/>
      <c r="AB625" s="3"/>
      <c r="AC625" s="3"/>
    </row>
    <row r="626" spans="26:29" ht="13">
      <c r="Z626" s="3"/>
      <c r="AA626" s="3"/>
      <c r="AB626" s="3"/>
      <c r="AC626" s="3"/>
    </row>
    <row r="627" spans="26:29" ht="13">
      <c r="Z627" s="3"/>
      <c r="AA627" s="3"/>
      <c r="AB627" s="3"/>
      <c r="AC627" s="3"/>
    </row>
    <row r="628" spans="26:29" ht="13">
      <c r="Z628" s="3"/>
      <c r="AA628" s="3"/>
      <c r="AB628" s="3"/>
      <c r="AC628" s="3"/>
    </row>
    <row r="629" spans="26:29" ht="13">
      <c r="Z629" s="3"/>
      <c r="AA629" s="3"/>
      <c r="AB629" s="3"/>
      <c r="AC629" s="3"/>
    </row>
    <row r="630" spans="26:29" ht="13">
      <c r="Z630" s="3"/>
      <c r="AA630" s="3"/>
      <c r="AB630" s="3"/>
      <c r="AC630" s="3"/>
    </row>
    <row r="631" spans="26:29" ht="13">
      <c r="Z631" s="3"/>
      <c r="AA631" s="3"/>
      <c r="AB631" s="3"/>
      <c r="AC631" s="3"/>
    </row>
    <row r="632" spans="26:29" ht="13">
      <c r="Z632" s="3"/>
      <c r="AA632" s="3"/>
      <c r="AB632" s="3"/>
      <c r="AC632" s="3"/>
    </row>
    <row r="633" spans="26:29" ht="13">
      <c r="Z633" s="3"/>
      <c r="AA633" s="3"/>
      <c r="AB633" s="3"/>
      <c r="AC633" s="3"/>
    </row>
    <row r="634" spans="26:29" ht="13">
      <c r="Z634" s="3"/>
      <c r="AA634" s="3"/>
      <c r="AB634" s="3"/>
      <c r="AC634" s="3"/>
    </row>
    <row r="635" spans="26:29" ht="13">
      <c r="Z635" s="3"/>
      <c r="AA635" s="3"/>
      <c r="AB635" s="3"/>
      <c r="AC635" s="3"/>
    </row>
    <row r="636" spans="26:29" ht="13">
      <c r="Z636" s="3"/>
      <c r="AA636" s="3"/>
      <c r="AB636" s="3"/>
      <c r="AC636" s="3"/>
    </row>
    <row r="637" spans="26:29" ht="13">
      <c r="Z637" s="3"/>
      <c r="AA637" s="3"/>
      <c r="AB637" s="3"/>
      <c r="AC637" s="3"/>
    </row>
    <row r="638" spans="26:29" ht="13">
      <c r="Z638" s="3"/>
      <c r="AA638" s="3"/>
      <c r="AB638" s="3"/>
      <c r="AC638" s="3"/>
    </row>
    <row r="639" spans="26:29" ht="13">
      <c r="Z639" s="3"/>
      <c r="AA639" s="3"/>
      <c r="AB639" s="3"/>
      <c r="AC639" s="3"/>
    </row>
    <row r="640" spans="26:29" ht="13">
      <c r="Z640" s="3"/>
      <c r="AA640" s="3"/>
      <c r="AB640" s="3"/>
      <c r="AC640" s="3"/>
    </row>
    <row r="641" spans="26:29" ht="13">
      <c r="Z641" s="3"/>
      <c r="AA641" s="3"/>
      <c r="AB641" s="3"/>
      <c r="AC641" s="3"/>
    </row>
    <row r="642" spans="26:29" ht="13">
      <c r="Z642" s="3"/>
      <c r="AA642" s="3"/>
      <c r="AB642" s="3"/>
      <c r="AC642" s="3"/>
    </row>
    <row r="643" spans="26:29" ht="13">
      <c r="Z643" s="3"/>
      <c r="AA643" s="3"/>
      <c r="AB643" s="3"/>
      <c r="AC643" s="3"/>
    </row>
    <row r="644" spans="26:29" ht="13">
      <c r="Z644" s="3"/>
      <c r="AA644" s="3"/>
      <c r="AB644" s="3"/>
      <c r="AC644" s="3"/>
    </row>
    <row r="645" spans="26:29" ht="13">
      <c r="Z645" s="3"/>
      <c r="AA645" s="3"/>
      <c r="AB645" s="3"/>
      <c r="AC645" s="3"/>
    </row>
    <row r="646" spans="26:29" ht="13">
      <c r="Z646" s="3"/>
      <c r="AA646" s="3"/>
      <c r="AB646" s="3"/>
      <c r="AC646" s="3"/>
    </row>
    <row r="647" spans="26:29" ht="13">
      <c r="Z647" s="3"/>
      <c r="AA647" s="3"/>
      <c r="AB647" s="3"/>
      <c r="AC647" s="3"/>
    </row>
    <row r="648" spans="26:29" ht="13">
      <c r="Z648" s="3"/>
      <c r="AA648" s="3"/>
      <c r="AB648" s="3"/>
      <c r="AC648" s="3"/>
    </row>
    <row r="649" spans="26:29" ht="13">
      <c r="Z649" s="3"/>
      <c r="AA649" s="3"/>
      <c r="AB649" s="3"/>
      <c r="AC649" s="3"/>
    </row>
    <row r="650" spans="26:29" ht="13">
      <c r="Z650" s="3"/>
      <c r="AA650" s="3"/>
      <c r="AB650" s="3"/>
      <c r="AC650" s="3"/>
    </row>
    <row r="651" spans="26:29" ht="13">
      <c r="Z651" s="3"/>
      <c r="AA651" s="3"/>
      <c r="AB651" s="3"/>
      <c r="AC651" s="3"/>
    </row>
    <row r="652" spans="26:29" ht="13">
      <c r="Z652" s="3"/>
      <c r="AA652" s="3"/>
      <c r="AB652" s="3"/>
      <c r="AC652" s="3"/>
    </row>
    <row r="653" spans="26:29" ht="13">
      <c r="Z653" s="3"/>
      <c r="AA653" s="3"/>
      <c r="AB653" s="3"/>
      <c r="AC653" s="3"/>
    </row>
    <row r="654" spans="26:29" ht="13">
      <c r="Z654" s="3"/>
      <c r="AA654" s="3"/>
      <c r="AB654" s="3"/>
      <c r="AC654" s="3"/>
    </row>
    <row r="655" spans="26:29" ht="13">
      <c r="Z655" s="3"/>
      <c r="AA655" s="3"/>
      <c r="AB655" s="3"/>
      <c r="AC655" s="3"/>
    </row>
    <row r="656" spans="26:29" ht="13">
      <c r="Z656" s="3"/>
      <c r="AA656" s="3"/>
      <c r="AB656" s="3"/>
      <c r="AC656" s="3"/>
    </row>
    <row r="657" spans="26:29" ht="13">
      <c r="Z657" s="3"/>
      <c r="AA657" s="3"/>
      <c r="AB657" s="3"/>
      <c r="AC657" s="3"/>
    </row>
    <row r="658" spans="26:29" ht="13">
      <c r="Z658" s="3"/>
      <c r="AA658" s="3"/>
      <c r="AB658" s="3"/>
      <c r="AC658" s="3"/>
    </row>
    <row r="659" spans="26:29" ht="13">
      <c r="Z659" s="3"/>
      <c r="AA659" s="3"/>
      <c r="AB659" s="3"/>
      <c r="AC659" s="3"/>
    </row>
    <row r="660" spans="26:29" ht="13">
      <c r="Z660" s="3"/>
      <c r="AA660" s="3"/>
      <c r="AB660" s="3"/>
      <c r="AC660" s="3"/>
    </row>
    <row r="661" spans="26:29" ht="13">
      <c r="Z661" s="3"/>
      <c r="AA661" s="3"/>
      <c r="AB661" s="3"/>
      <c r="AC661" s="3"/>
    </row>
    <row r="662" spans="26:29" ht="13">
      <c r="Z662" s="3"/>
      <c r="AA662" s="3"/>
      <c r="AB662" s="3"/>
      <c r="AC662" s="3"/>
    </row>
    <row r="663" spans="26:29" ht="13">
      <c r="Z663" s="3"/>
      <c r="AA663" s="3"/>
      <c r="AB663" s="3"/>
      <c r="AC663" s="3"/>
    </row>
    <row r="664" spans="26:29" ht="13">
      <c r="Z664" s="3"/>
      <c r="AA664" s="3"/>
      <c r="AB664" s="3"/>
      <c r="AC664" s="3"/>
    </row>
    <row r="665" spans="26:29" ht="13">
      <c r="Z665" s="3"/>
      <c r="AA665" s="3"/>
      <c r="AB665" s="3"/>
      <c r="AC665" s="3"/>
    </row>
    <row r="666" spans="26:29" ht="13">
      <c r="Z666" s="3"/>
      <c r="AA666" s="3"/>
      <c r="AB666" s="3"/>
      <c r="AC666" s="3"/>
    </row>
    <row r="667" spans="26:29" ht="13">
      <c r="Z667" s="3"/>
      <c r="AA667" s="3"/>
      <c r="AB667" s="3"/>
      <c r="AC667" s="3"/>
    </row>
    <row r="668" spans="26:29" ht="13">
      <c r="Z668" s="3"/>
      <c r="AA668" s="3"/>
      <c r="AB668" s="3"/>
      <c r="AC668" s="3"/>
    </row>
    <row r="669" spans="26:29" ht="13">
      <c r="Z669" s="3"/>
      <c r="AA669" s="3"/>
      <c r="AB669" s="3"/>
      <c r="AC669" s="3"/>
    </row>
    <row r="670" spans="26:29" ht="13">
      <c r="Z670" s="3"/>
      <c r="AA670" s="3"/>
      <c r="AB670" s="3"/>
      <c r="AC670" s="3"/>
    </row>
    <row r="671" spans="26:29" ht="13">
      <c r="Z671" s="3"/>
      <c r="AA671" s="3"/>
      <c r="AB671" s="3"/>
      <c r="AC671" s="3"/>
    </row>
    <row r="672" spans="26:29" ht="13">
      <c r="Z672" s="3"/>
      <c r="AA672" s="3"/>
      <c r="AB672" s="3"/>
      <c r="AC672" s="3"/>
    </row>
    <row r="673" spans="26:29" ht="13">
      <c r="Z673" s="3"/>
      <c r="AA673" s="3"/>
      <c r="AB673" s="3"/>
      <c r="AC673" s="3"/>
    </row>
    <row r="674" spans="26:29" ht="13">
      <c r="Z674" s="3"/>
      <c r="AA674" s="3"/>
      <c r="AB674" s="3"/>
      <c r="AC674" s="3"/>
    </row>
    <row r="675" spans="26:29" ht="13">
      <c r="Z675" s="3"/>
      <c r="AA675" s="3"/>
      <c r="AB675" s="3"/>
      <c r="AC675" s="3"/>
    </row>
    <row r="676" spans="26:29" ht="13">
      <c r="Z676" s="3"/>
      <c r="AA676" s="3"/>
      <c r="AB676" s="3"/>
      <c r="AC676" s="3"/>
    </row>
    <row r="677" spans="26:29" ht="13">
      <c r="Z677" s="3"/>
      <c r="AA677" s="3"/>
      <c r="AB677" s="3"/>
      <c r="AC677" s="3"/>
    </row>
    <row r="678" spans="26:29" ht="13">
      <c r="Z678" s="3"/>
      <c r="AA678" s="3"/>
      <c r="AB678" s="3"/>
      <c r="AC678" s="3"/>
    </row>
    <row r="679" spans="26:29" ht="13">
      <c r="Z679" s="3"/>
      <c r="AA679" s="3"/>
      <c r="AB679" s="3"/>
      <c r="AC679" s="3"/>
    </row>
    <row r="680" spans="26:29" ht="13">
      <c r="Z680" s="3"/>
      <c r="AA680" s="3"/>
      <c r="AB680" s="3"/>
      <c r="AC680" s="3"/>
    </row>
    <row r="681" spans="26:29" ht="13">
      <c r="Z681" s="3"/>
      <c r="AA681" s="3"/>
      <c r="AB681" s="3"/>
      <c r="AC681" s="3"/>
    </row>
    <row r="682" spans="26:29" ht="13">
      <c r="Z682" s="3"/>
      <c r="AA682" s="3"/>
      <c r="AB682" s="3"/>
      <c r="AC682" s="3"/>
    </row>
    <row r="683" spans="26:29" ht="13">
      <c r="Z683" s="3"/>
      <c r="AA683" s="3"/>
      <c r="AB683" s="3"/>
      <c r="AC683" s="3"/>
    </row>
    <row r="684" spans="26:29" ht="13">
      <c r="Z684" s="3"/>
      <c r="AA684" s="3"/>
      <c r="AB684" s="3"/>
      <c r="AC684" s="3"/>
    </row>
    <row r="685" spans="26:29" ht="13">
      <c r="Z685" s="3"/>
      <c r="AA685" s="3"/>
      <c r="AB685" s="3"/>
      <c r="AC685" s="3"/>
    </row>
    <row r="686" spans="26:29" ht="13">
      <c r="Z686" s="3"/>
      <c r="AA686" s="3"/>
      <c r="AB686" s="3"/>
      <c r="AC686" s="3"/>
    </row>
    <row r="687" spans="26:29" ht="13">
      <c r="Z687" s="3"/>
      <c r="AA687" s="3"/>
      <c r="AB687" s="3"/>
      <c r="AC687" s="3"/>
    </row>
    <row r="688" spans="26:29" ht="13">
      <c r="Z688" s="3"/>
      <c r="AA688" s="3"/>
      <c r="AB688" s="3"/>
      <c r="AC688" s="3"/>
    </row>
    <row r="689" spans="26:29" ht="13">
      <c r="Z689" s="3"/>
      <c r="AA689" s="3"/>
      <c r="AB689" s="3"/>
      <c r="AC689" s="3"/>
    </row>
    <row r="690" spans="26:29" ht="13">
      <c r="Z690" s="3"/>
      <c r="AA690" s="3"/>
      <c r="AB690" s="3"/>
      <c r="AC690" s="3"/>
    </row>
    <row r="691" spans="26:29" ht="13">
      <c r="Z691" s="3"/>
      <c r="AA691" s="3"/>
      <c r="AB691" s="3"/>
      <c r="AC691" s="3"/>
    </row>
    <row r="692" spans="26:29" ht="13">
      <c r="Z692" s="3"/>
      <c r="AA692" s="3"/>
      <c r="AB692" s="3"/>
      <c r="AC692" s="3"/>
    </row>
    <row r="693" spans="26:29" ht="13">
      <c r="Z693" s="3"/>
      <c r="AA693" s="3"/>
      <c r="AB693" s="3"/>
      <c r="AC693" s="3"/>
    </row>
    <row r="694" spans="26:29" ht="13">
      <c r="Z694" s="3"/>
      <c r="AA694" s="3"/>
      <c r="AB694" s="3"/>
      <c r="AC694" s="3"/>
    </row>
    <row r="695" spans="26:29" ht="13">
      <c r="Z695" s="3"/>
      <c r="AA695" s="3"/>
      <c r="AB695" s="3"/>
      <c r="AC695" s="3"/>
    </row>
    <row r="696" spans="26:29" ht="13">
      <c r="Z696" s="3"/>
      <c r="AA696" s="3"/>
      <c r="AB696" s="3"/>
      <c r="AC696" s="3"/>
    </row>
    <row r="697" spans="26:29" ht="13">
      <c r="Z697" s="3"/>
      <c r="AA697" s="3"/>
      <c r="AB697" s="3"/>
      <c r="AC697" s="3"/>
    </row>
    <row r="698" spans="26:29" ht="13">
      <c r="Z698" s="3"/>
      <c r="AA698" s="3"/>
      <c r="AB698" s="3"/>
      <c r="AC698" s="3"/>
    </row>
    <row r="699" spans="26:29" ht="13">
      <c r="Z699" s="3"/>
      <c r="AA699" s="3"/>
      <c r="AB699" s="3"/>
      <c r="AC699" s="3"/>
    </row>
    <row r="700" spans="26:29" ht="13">
      <c r="Z700" s="3"/>
      <c r="AA700" s="3"/>
      <c r="AB700" s="3"/>
      <c r="AC700" s="3"/>
    </row>
    <row r="701" spans="26:29" ht="13">
      <c r="Z701" s="3"/>
      <c r="AA701" s="3"/>
      <c r="AB701" s="3"/>
      <c r="AC701" s="3"/>
    </row>
    <row r="702" spans="26:29" ht="13">
      <c r="Z702" s="3"/>
      <c r="AA702" s="3"/>
      <c r="AB702" s="3"/>
      <c r="AC702" s="3"/>
    </row>
    <row r="703" spans="26:29" ht="13">
      <c r="Z703" s="3"/>
      <c r="AA703" s="3"/>
      <c r="AB703" s="3"/>
      <c r="AC703" s="3"/>
    </row>
    <row r="704" spans="26:29" ht="13">
      <c r="Z704" s="3"/>
      <c r="AA704" s="3"/>
      <c r="AB704" s="3"/>
      <c r="AC704" s="3"/>
    </row>
    <row r="705" spans="26:29" ht="13">
      <c r="Z705" s="3"/>
      <c r="AA705" s="3"/>
      <c r="AB705" s="3"/>
      <c r="AC705" s="3"/>
    </row>
    <row r="706" spans="26:29" ht="13">
      <c r="Z706" s="3"/>
      <c r="AA706" s="3"/>
      <c r="AB706" s="3"/>
      <c r="AC706" s="3"/>
    </row>
    <row r="707" spans="26:29" ht="13">
      <c r="Z707" s="3"/>
      <c r="AA707" s="3"/>
      <c r="AB707" s="3"/>
      <c r="AC707" s="3"/>
    </row>
    <row r="708" spans="26:29" ht="13">
      <c r="Z708" s="3"/>
      <c r="AA708" s="3"/>
      <c r="AB708" s="3"/>
      <c r="AC708" s="3"/>
    </row>
    <row r="709" spans="26:29" ht="13">
      <c r="Z709" s="3"/>
      <c r="AA709" s="3"/>
      <c r="AB709" s="3"/>
      <c r="AC709" s="3"/>
    </row>
    <row r="710" spans="26:29" ht="13">
      <c r="Z710" s="3"/>
      <c r="AA710" s="3"/>
      <c r="AB710" s="3"/>
      <c r="AC710" s="3"/>
    </row>
    <row r="711" spans="26:29" ht="13">
      <c r="Z711" s="3"/>
      <c r="AA711" s="3"/>
      <c r="AB711" s="3"/>
      <c r="AC711" s="3"/>
    </row>
    <row r="712" spans="26:29" ht="13">
      <c r="Z712" s="3"/>
      <c r="AA712" s="3"/>
      <c r="AB712" s="3"/>
      <c r="AC712" s="3"/>
    </row>
    <row r="713" spans="26:29" ht="13">
      <c r="Z713" s="3"/>
      <c r="AA713" s="3"/>
      <c r="AB713" s="3"/>
      <c r="AC713" s="3"/>
    </row>
    <row r="714" spans="26:29" ht="13">
      <c r="Z714" s="3"/>
      <c r="AA714" s="3"/>
      <c r="AB714" s="3"/>
      <c r="AC714" s="3"/>
    </row>
    <row r="715" spans="26:29" ht="13">
      <c r="Z715" s="3"/>
      <c r="AA715" s="3"/>
      <c r="AB715" s="3"/>
      <c r="AC715" s="3"/>
    </row>
    <row r="716" spans="26:29" ht="13">
      <c r="Z716" s="3"/>
      <c r="AA716" s="3"/>
      <c r="AB716" s="3"/>
      <c r="AC716" s="3"/>
    </row>
    <row r="717" spans="26:29" ht="13">
      <c r="Z717" s="3"/>
      <c r="AA717" s="3"/>
      <c r="AB717" s="3"/>
      <c r="AC717" s="3"/>
    </row>
    <row r="718" spans="26:29" ht="13">
      <c r="Z718" s="3"/>
      <c r="AA718" s="3"/>
      <c r="AB718" s="3"/>
      <c r="AC718" s="3"/>
    </row>
    <row r="719" spans="26:29" ht="13">
      <c r="Z719" s="3"/>
      <c r="AA719" s="3"/>
      <c r="AB719" s="3"/>
      <c r="AC719" s="3"/>
    </row>
    <row r="720" spans="26:29" ht="13">
      <c r="Z720" s="3"/>
      <c r="AA720" s="3"/>
      <c r="AB720" s="3"/>
      <c r="AC720" s="3"/>
    </row>
    <row r="721" spans="26:29" ht="13">
      <c r="Z721" s="3"/>
      <c r="AA721" s="3"/>
      <c r="AB721" s="3"/>
      <c r="AC721" s="3"/>
    </row>
    <row r="722" spans="26:29" ht="13">
      <c r="Z722" s="3"/>
      <c r="AA722" s="3"/>
      <c r="AB722" s="3"/>
      <c r="AC722" s="3"/>
    </row>
    <row r="723" spans="26:29" ht="13">
      <c r="Z723" s="3"/>
      <c r="AA723" s="3"/>
      <c r="AB723" s="3"/>
      <c r="AC723" s="3"/>
    </row>
    <row r="724" spans="26:29" ht="13">
      <c r="Z724" s="3"/>
      <c r="AA724" s="3"/>
      <c r="AB724" s="3"/>
      <c r="AC724" s="3"/>
    </row>
    <row r="725" spans="26:29" ht="13">
      <c r="Z725" s="3"/>
      <c r="AA725" s="3"/>
      <c r="AB725" s="3"/>
      <c r="AC725" s="3"/>
    </row>
    <row r="726" spans="26:29" ht="13">
      <c r="Z726" s="3"/>
      <c r="AA726" s="3"/>
      <c r="AB726" s="3"/>
      <c r="AC726" s="3"/>
    </row>
    <row r="727" spans="26:29" ht="13">
      <c r="Z727" s="3"/>
      <c r="AA727" s="3"/>
      <c r="AB727" s="3"/>
      <c r="AC727" s="3"/>
    </row>
    <row r="728" spans="26:29" ht="13">
      <c r="Z728" s="3"/>
      <c r="AA728" s="3"/>
      <c r="AB728" s="3"/>
      <c r="AC728" s="3"/>
    </row>
    <row r="729" spans="26:29" ht="13">
      <c r="Z729" s="3"/>
      <c r="AA729" s="3"/>
      <c r="AB729" s="3"/>
      <c r="AC729" s="3"/>
    </row>
    <row r="730" spans="26:29" ht="13">
      <c r="Z730" s="3"/>
      <c r="AA730" s="3"/>
      <c r="AB730" s="3"/>
      <c r="AC730" s="3"/>
    </row>
    <row r="731" spans="26:29" ht="13">
      <c r="Z731" s="3"/>
      <c r="AA731" s="3"/>
      <c r="AB731" s="3"/>
      <c r="AC731" s="3"/>
    </row>
    <row r="732" spans="26:29" ht="13">
      <c r="Z732" s="3"/>
      <c r="AA732" s="3"/>
      <c r="AB732" s="3"/>
      <c r="AC732" s="3"/>
    </row>
    <row r="733" spans="26:29" ht="13">
      <c r="Z733" s="3"/>
      <c r="AA733" s="3"/>
      <c r="AB733" s="3"/>
      <c r="AC733" s="3"/>
    </row>
    <row r="734" spans="26:29" ht="13">
      <c r="Z734" s="3"/>
      <c r="AA734" s="3"/>
      <c r="AB734" s="3"/>
      <c r="AC734" s="3"/>
    </row>
    <row r="735" spans="26:29" ht="13">
      <c r="Z735" s="3"/>
      <c r="AA735" s="3"/>
      <c r="AB735" s="3"/>
      <c r="AC735" s="3"/>
    </row>
    <row r="736" spans="26:29" ht="13">
      <c r="Z736" s="3"/>
      <c r="AA736" s="3"/>
      <c r="AB736" s="3"/>
      <c r="AC736" s="3"/>
    </row>
    <row r="737" spans="26:29" ht="13">
      <c r="Z737" s="3"/>
      <c r="AA737" s="3"/>
      <c r="AB737" s="3"/>
      <c r="AC737" s="3"/>
    </row>
    <row r="738" spans="26:29" ht="13">
      <c r="Z738" s="3"/>
      <c r="AA738" s="3"/>
      <c r="AB738" s="3"/>
      <c r="AC738" s="3"/>
    </row>
    <row r="739" spans="26:29" ht="13">
      <c r="Z739" s="3"/>
      <c r="AA739" s="3"/>
      <c r="AB739" s="3"/>
      <c r="AC739" s="3"/>
    </row>
    <row r="740" spans="26:29" ht="13">
      <c r="Z740" s="3"/>
      <c r="AA740" s="3"/>
      <c r="AB740" s="3"/>
      <c r="AC740" s="3"/>
    </row>
    <row r="741" spans="26:29" ht="13">
      <c r="Z741" s="3"/>
      <c r="AA741" s="3"/>
      <c r="AB741" s="3"/>
      <c r="AC741" s="3"/>
    </row>
    <row r="742" spans="26:29" ht="13">
      <c r="Z742" s="3"/>
      <c r="AA742" s="3"/>
      <c r="AB742" s="3"/>
      <c r="AC742" s="3"/>
    </row>
    <row r="743" spans="26:29" ht="13">
      <c r="Z743" s="3"/>
      <c r="AA743" s="3"/>
      <c r="AB743" s="3"/>
      <c r="AC743" s="3"/>
    </row>
    <row r="744" spans="26:29" ht="13">
      <c r="Z744" s="3"/>
      <c r="AA744" s="3"/>
      <c r="AB744" s="3"/>
      <c r="AC744" s="3"/>
    </row>
    <row r="745" spans="26:29" ht="13">
      <c r="Z745" s="3"/>
      <c r="AA745" s="3"/>
      <c r="AB745" s="3"/>
      <c r="AC745" s="3"/>
    </row>
    <row r="746" spans="26:29" ht="13">
      <c r="Z746" s="3"/>
      <c r="AA746" s="3"/>
      <c r="AB746" s="3"/>
      <c r="AC746" s="3"/>
    </row>
    <row r="747" spans="26:29" ht="13">
      <c r="Z747" s="3"/>
      <c r="AA747" s="3"/>
      <c r="AB747" s="3"/>
      <c r="AC747" s="3"/>
    </row>
    <row r="748" spans="26:29" ht="13">
      <c r="Z748" s="3"/>
      <c r="AA748" s="3"/>
      <c r="AB748" s="3"/>
      <c r="AC748" s="3"/>
    </row>
    <row r="749" spans="26:29" ht="13">
      <c r="Z749" s="3"/>
      <c r="AA749" s="3"/>
      <c r="AB749" s="3"/>
      <c r="AC749" s="3"/>
    </row>
    <row r="750" spans="26:29" ht="13">
      <c r="Z750" s="3"/>
      <c r="AA750" s="3"/>
      <c r="AB750" s="3"/>
      <c r="AC750" s="3"/>
    </row>
    <row r="751" spans="26:29" ht="13">
      <c r="Z751" s="3"/>
      <c r="AA751" s="3"/>
      <c r="AB751" s="3"/>
      <c r="AC751" s="3"/>
    </row>
    <row r="752" spans="26:29" ht="13">
      <c r="Z752" s="3"/>
      <c r="AA752" s="3"/>
      <c r="AB752" s="3"/>
      <c r="AC752" s="3"/>
    </row>
    <row r="753" spans="26:29" ht="13">
      <c r="Z753" s="3"/>
      <c r="AA753" s="3"/>
      <c r="AB753" s="3"/>
      <c r="AC753" s="3"/>
    </row>
    <row r="754" spans="26:29" ht="13">
      <c r="Z754" s="3"/>
      <c r="AA754" s="3"/>
      <c r="AB754" s="3"/>
      <c r="AC754" s="3"/>
    </row>
    <row r="755" spans="26:29" ht="13">
      <c r="Z755" s="3"/>
      <c r="AA755" s="3"/>
      <c r="AB755" s="3"/>
      <c r="AC755" s="3"/>
    </row>
    <row r="756" spans="26:29" ht="13">
      <c r="Z756" s="3"/>
      <c r="AA756" s="3"/>
      <c r="AB756" s="3"/>
      <c r="AC756" s="3"/>
    </row>
    <row r="757" spans="26:29" ht="13">
      <c r="Z757" s="3"/>
      <c r="AA757" s="3"/>
      <c r="AB757" s="3"/>
      <c r="AC757" s="3"/>
    </row>
    <row r="758" spans="26:29" ht="13">
      <c r="Z758" s="3"/>
      <c r="AA758" s="3"/>
      <c r="AB758" s="3"/>
      <c r="AC758" s="3"/>
    </row>
    <row r="759" spans="26:29" ht="13">
      <c r="Z759" s="3"/>
      <c r="AA759" s="3"/>
      <c r="AB759" s="3"/>
      <c r="AC759" s="3"/>
    </row>
    <row r="760" spans="26:29" ht="13">
      <c r="Z760" s="3"/>
      <c r="AA760" s="3"/>
      <c r="AB760" s="3"/>
      <c r="AC760" s="3"/>
    </row>
    <row r="761" spans="26:29" ht="13">
      <c r="Z761" s="3"/>
      <c r="AA761" s="3"/>
      <c r="AB761" s="3"/>
      <c r="AC761" s="3"/>
    </row>
    <row r="762" spans="26:29" ht="13">
      <c r="Z762" s="3"/>
      <c r="AA762" s="3"/>
      <c r="AB762" s="3"/>
      <c r="AC762" s="3"/>
    </row>
    <row r="763" spans="26:29" ht="13">
      <c r="Z763" s="3"/>
      <c r="AA763" s="3"/>
      <c r="AB763" s="3"/>
      <c r="AC763" s="3"/>
    </row>
    <row r="764" spans="26:29" ht="13">
      <c r="Z764" s="3"/>
      <c r="AA764" s="3"/>
      <c r="AB764" s="3"/>
      <c r="AC764" s="3"/>
    </row>
    <row r="765" spans="26:29" ht="13">
      <c r="Z765" s="3"/>
      <c r="AA765" s="3"/>
      <c r="AB765" s="3"/>
      <c r="AC765" s="3"/>
    </row>
    <row r="766" spans="26:29" ht="13">
      <c r="Z766" s="3"/>
      <c r="AA766" s="3"/>
      <c r="AB766" s="3"/>
      <c r="AC766" s="3"/>
    </row>
    <row r="767" spans="26:29" ht="13">
      <c r="Z767" s="3"/>
      <c r="AA767" s="3"/>
      <c r="AB767" s="3"/>
      <c r="AC767" s="3"/>
    </row>
    <row r="768" spans="26:29" ht="13">
      <c r="Z768" s="3"/>
      <c r="AA768" s="3"/>
      <c r="AB768" s="3"/>
      <c r="AC768" s="3"/>
    </row>
    <row r="769" spans="26:29" ht="13">
      <c r="Z769" s="3"/>
      <c r="AA769" s="3"/>
      <c r="AB769" s="3"/>
      <c r="AC769" s="3"/>
    </row>
    <row r="770" spans="26:29" ht="13">
      <c r="Z770" s="3"/>
      <c r="AA770" s="3"/>
      <c r="AB770" s="3"/>
      <c r="AC770" s="3"/>
    </row>
    <row r="771" spans="26:29" ht="13">
      <c r="Z771" s="3"/>
      <c r="AA771" s="3"/>
      <c r="AB771" s="3"/>
      <c r="AC771" s="3"/>
    </row>
    <row r="772" spans="26:29" ht="13">
      <c r="Z772" s="3"/>
      <c r="AA772" s="3"/>
      <c r="AB772" s="3"/>
      <c r="AC772" s="3"/>
    </row>
    <row r="773" spans="26:29" ht="13">
      <c r="Z773" s="3"/>
      <c r="AA773" s="3"/>
      <c r="AB773" s="3"/>
      <c r="AC773" s="3"/>
    </row>
    <row r="774" spans="26:29" ht="13">
      <c r="Z774" s="3"/>
      <c r="AA774" s="3"/>
      <c r="AB774" s="3"/>
      <c r="AC774" s="3"/>
    </row>
    <row r="775" spans="26:29" ht="13">
      <c r="Z775" s="3"/>
      <c r="AA775" s="3"/>
      <c r="AB775" s="3"/>
      <c r="AC775" s="3"/>
    </row>
    <row r="776" spans="26:29" ht="13">
      <c r="Z776" s="3"/>
      <c r="AA776" s="3"/>
      <c r="AB776" s="3"/>
      <c r="AC776" s="3"/>
    </row>
    <row r="777" spans="26:29" ht="13">
      <c r="Z777" s="3"/>
      <c r="AA777" s="3"/>
      <c r="AB777" s="3"/>
      <c r="AC777" s="3"/>
    </row>
    <row r="778" spans="26:29" ht="13">
      <c r="Z778" s="3"/>
      <c r="AA778" s="3"/>
      <c r="AB778" s="3"/>
      <c r="AC778" s="3"/>
    </row>
    <row r="779" spans="26:29" ht="13">
      <c r="Z779" s="3"/>
      <c r="AA779" s="3"/>
      <c r="AB779" s="3"/>
      <c r="AC779" s="3"/>
    </row>
    <row r="780" spans="26:29" ht="13">
      <c r="Z780" s="3"/>
      <c r="AA780" s="3"/>
      <c r="AB780" s="3"/>
      <c r="AC780" s="3"/>
    </row>
    <row r="781" spans="26:29" ht="13">
      <c r="Z781" s="3"/>
      <c r="AA781" s="3"/>
      <c r="AB781" s="3"/>
      <c r="AC781" s="3"/>
    </row>
    <row r="782" spans="26:29" ht="13">
      <c r="Z782" s="3"/>
      <c r="AA782" s="3"/>
      <c r="AB782" s="3"/>
      <c r="AC782" s="3"/>
    </row>
    <row r="783" spans="26:29" ht="13">
      <c r="Z783" s="3"/>
      <c r="AA783" s="3"/>
      <c r="AB783" s="3"/>
      <c r="AC783" s="3"/>
    </row>
    <row r="784" spans="26:29" ht="13">
      <c r="Z784" s="3"/>
      <c r="AA784" s="3"/>
      <c r="AB784" s="3"/>
      <c r="AC784" s="3"/>
    </row>
    <row r="785" spans="26:29" ht="13">
      <c r="Z785" s="3"/>
      <c r="AA785" s="3"/>
      <c r="AB785" s="3"/>
      <c r="AC785" s="3"/>
    </row>
    <row r="786" spans="26:29" ht="13">
      <c r="Z786" s="3"/>
      <c r="AA786" s="3"/>
      <c r="AB786" s="3"/>
      <c r="AC786" s="3"/>
    </row>
    <row r="787" spans="26:29" ht="13">
      <c r="Z787" s="3"/>
      <c r="AA787" s="3"/>
      <c r="AB787" s="3"/>
      <c r="AC787" s="3"/>
    </row>
    <row r="788" spans="26:29" ht="13">
      <c r="Z788" s="3"/>
      <c r="AA788" s="3"/>
      <c r="AB788" s="3"/>
      <c r="AC788" s="3"/>
    </row>
    <row r="789" spans="26:29" ht="13">
      <c r="Z789" s="3"/>
      <c r="AA789" s="3"/>
      <c r="AB789" s="3"/>
      <c r="AC789" s="3"/>
    </row>
    <row r="790" spans="26:29" ht="13">
      <c r="Z790" s="3"/>
      <c r="AA790" s="3"/>
      <c r="AB790" s="3"/>
      <c r="AC790" s="3"/>
    </row>
    <row r="791" spans="26:29" ht="13">
      <c r="Z791" s="3"/>
      <c r="AA791" s="3"/>
      <c r="AB791" s="3"/>
      <c r="AC791" s="3"/>
    </row>
    <row r="792" spans="26:29" ht="13">
      <c r="Z792" s="3"/>
      <c r="AA792" s="3"/>
      <c r="AB792" s="3"/>
      <c r="AC792" s="3"/>
    </row>
    <row r="793" spans="26:29" ht="13">
      <c r="Z793" s="3"/>
      <c r="AA793" s="3"/>
      <c r="AB793" s="3"/>
      <c r="AC793" s="3"/>
    </row>
    <row r="794" spans="26:29" ht="13">
      <c r="Z794" s="3"/>
      <c r="AA794" s="3"/>
      <c r="AB794" s="3"/>
      <c r="AC794" s="3"/>
    </row>
    <row r="795" spans="26:29" ht="13">
      <c r="Z795" s="3"/>
      <c r="AA795" s="3"/>
      <c r="AB795" s="3"/>
      <c r="AC795" s="3"/>
    </row>
    <row r="796" spans="26:29" ht="13">
      <c r="Z796" s="3"/>
      <c r="AA796" s="3"/>
      <c r="AB796" s="3"/>
      <c r="AC796" s="3"/>
    </row>
    <row r="797" spans="26:29" ht="13">
      <c r="Z797" s="3"/>
      <c r="AA797" s="3"/>
      <c r="AB797" s="3"/>
      <c r="AC797" s="3"/>
    </row>
    <row r="798" spans="26:29" ht="13">
      <c r="Z798" s="3"/>
      <c r="AA798" s="3"/>
      <c r="AB798" s="3"/>
      <c r="AC798" s="3"/>
    </row>
    <row r="799" spans="26:29" ht="13">
      <c r="Z799" s="3"/>
      <c r="AA799" s="3"/>
      <c r="AB799" s="3"/>
      <c r="AC799" s="3"/>
    </row>
    <row r="800" spans="26:29" ht="13">
      <c r="Z800" s="3"/>
      <c r="AA800" s="3"/>
      <c r="AB800" s="3"/>
      <c r="AC800" s="3"/>
    </row>
    <row r="801" spans="26:29" ht="13">
      <c r="Z801" s="3"/>
      <c r="AA801" s="3"/>
      <c r="AB801" s="3"/>
      <c r="AC801" s="3"/>
    </row>
    <row r="802" spans="26:29" ht="13">
      <c r="Z802" s="3"/>
      <c r="AA802" s="3"/>
      <c r="AB802" s="3"/>
      <c r="AC802" s="3"/>
    </row>
    <row r="803" spans="26:29" ht="13">
      <c r="Z803" s="3"/>
      <c r="AA803" s="3"/>
      <c r="AB803" s="3"/>
      <c r="AC803" s="3"/>
    </row>
    <row r="804" spans="26:29" ht="13">
      <c r="Z804" s="3"/>
      <c r="AA804" s="3"/>
      <c r="AB804" s="3"/>
      <c r="AC804" s="3"/>
    </row>
    <row r="805" spans="26:29" ht="13">
      <c r="Z805" s="3"/>
      <c r="AA805" s="3"/>
      <c r="AB805" s="3"/>
      <c r="AC805" s="3"/>
    </row>
    <row r="806" spans="26:29" ht="13">
      <c r="Z806" s="3"/>
      <c r="AA806" s="3"/>
      <c r="AB806" s="3"/>
      <c r="AC806" s="3"/>
    </row>
    <row r="807" spans="26:29" ht="13">
      <c r="Z807" s="3"/>
      <c r="AA807" s="3"/>
      <c r="AB807" s="3"/>
      <c r="AC807" s="3"/>
    </row>
    <row r="808" spans="26:29" ht="13">
      <c r="Z808" s="3"/>
      <c r="AA808" s="3"/>
      <c r="AB808" s="3"/>
      <c r="AC808" s="3"/>
    </row>
    <row r="809" spans="26:29" ht="13">
      <c r="Z809" s="3"/>
      <c r="AA809" s="3"/>
      <c r="AB809" s="3"/>
      <c r="AC809" s="3"/>
    </row>
    <row r="810" spans="26:29" ht="13">
      <c r="Z810" s="3"/>
      <c r="AA810" s="3"/>
      <c r="AB810" s="3"/>
      <c r="AC810" s="3"/>
    </row>
    <row r="811" spans="26:29" ht="13">
      <c r="Z811" s="3"/>
      <c r="AA811" s="3"/>
      <c r="AB811" s="3"/>
      <c r="AC811" s="3"/>
    </row>
    <row r="812" spans="26:29" ht="13">
      <c r="Z812" s="3"/>
      <c r="AA812" s="3"/>
      <c r="AB812" s="3"/>
      <c r="AC812" s="3"/>
    </row>
    <row r="813" spans="26:29" ht="13">
      <c r="Z813" s="3"/>
      <c r="AA813" s="3"/>
      <c r="AB813" s="3"/>
      <c r="AC813" s="3"/>
    </row>
    <row r="814" spans="26:29" ht="13">
      <c r="Z814" s="3"/>
      <c r="AA814" s="3"/>
      <c r="AB814" s="3"/>
      <c r="AC814" s="3"/>
    </row>
    <row r="815" spans="26:29" ht="13">
      <c r="Z815" s="3"/>
      <c r="AA815" s="3"/>
      <c r="AB815" s="3"/>
      <c r="AC815" s="3"/>
    </row>
    <row r="816" spans="26:29" ht="13">
      <c r="Z816" s="3"/>
      <c r="AA816" s="3"/>
      <c r="AB816" s="3"/>
      <c r="AC816" s="3"/>
    </row>
    <row r="817" spans="26:29" ht="13">
      <c r="Z817" s="3"/>
      <c r="AA817" s="3"/>
      <c r="AB817" s="3"/>
      <c r="AC817" s="3"/>
    </row>
    <row r="818" spans="26:29" ht="13">
      <c r="Z818" s="3"/>
      <c r="AA818" s="3"/>
      <c r="AB818" s="3"/>
      <c r="AC818" s="3"/>
    </row>
    <row r="819" spans="26:29" ht="13">
      <c r="Z819" s="3"/>
      <c r="AA819" s="3"/>
      <c r="AB819" s="3"/>
      <c r="AC819" s="3"/>
    </row>
    <row r="820" spans="26:29" ht="13">
      <c r="Z820" s="3"/>
      <c r="AA820" s="3"/>
      <c r="AB820" s="3"/>
      <c r="AC820" s="3"/>
    </row>
    <row r="821" spans="26:29" ht="13">
      <c r="Z821" s="3"/>
      <c r="AA821" s="3"/>
      <c r="AB821" s="3"/>
      <c r="AC821" s="3"/>
    </row>
    <row r="822" spans="26:29" ht="13">
      <c r="Z822" s="3"/>
      <c r="AA822" s="3"/>
      <c r="AB822" s="3"/>
      <c r="AC822" s="3"/>
    </row>
    <row r="823" spans="26:29" ht="13">
      <c r="Z823" s="3"/>
      <c r="AA823" s="3"/>
      <c r="AB823" s="3"/>
      <c r="AC823" s="3"/>
    </row>
    <row r="824" spans="26:29" ht="13">
      <c r="Z824" s="3"/>
      <c r="AA824" s="3"/>
      <c r="AB824" s="3"/>
      <c r="AC824" s="3"/>
    </row>
    <row r="825" spans="26:29" ht="13">
      <c r="Z825" s="3"/>
      <c r="AA825" s="3"/>
      <c r="AB825" s="3"/>
      <c r="AC825" s="3"/>
    </row>
    <row r="826" spans="26:29" ht="13">
      <c r="Z826" s="3"/>
      <c r="AA826" s="3"/>
      <c r="AB826" s="3"/>
      <c r="AC826" s="3"/>
    </row>
    <row r="827" spans="26:29" ht="13">
      <c r="Z827" s="3"/>
      <c r="AA827" s="3"/>
      <c r="AB827" s="3"/>
      <c r="AC827" s="3"/>
    </row>
    <row r="828" spans="26:29" ht="13">
      <c r="Z828" s="3"/>
      <c r="AA828" s="3"/>
      <c r="AB828" s="3"/>
      <c r="AC828" s="3"/>
    </row>
    <row r="829" spans="26:29" ht="13">
      <c r="Z829" s="3"/>
      <c r="AA829" s="3"/>
      <c r="AB829" s="3"/>
      <c r="AC829" s="3"/>
    </row>
    <row r="830" spans="26:29" ht="13">
      <c r="Z830" s="3"/>
      <c r="AA830" s="3"/>
      <c r="AB830" s="3"/>
      <c r="AC830" s="3"/>
    </row>
    <row r="831" spans="26:29" ht="13">
      <c r="Z831" s="3"/>
      <c r="AA831" s="3"/>
      <c r="AB831" s="3"/>
      <c r="AC831" s="3"/>
    </row>
    <row r="832" spans="26:29" ht="13">
      <c r="Z832" s="3"/>
      <c r="AA832" s="3"/>
      <c r="AB832" s="3"/>
      <c r="AC832" s="3"/>
    </row>
    <row r="833" spans="26:29" ht="13">
      <c r="Z833" s="3"/>
      <c r="AA833" s="3"/>
      <c r="AB833" s="3"/>
      <c r="AC833" s="3"/>
    </row>
    <row r="834" spans="26:29" ht="13">
      <c r="Z834" s="3"/>
      <c r="AA834" s="3"/>
      <c r="AB834" s="3"/>
      <c r="AC834" s="3"/>
    </row>
    <row r="835" spans="26:29" ht="13">
      <c r="Z835" s="3"/>
      <c r="AA835" s="3"/>
      <c r="AB835" s="3"/>
      <c r="AC835" s="3"/>
    </row>
    <row r="836" spans="26:29" ht="13">
      <c r="Z836" s="3"/>
      <c r="AA836" s="3"/>
      <c r="AB836" s="3"/>
      <c r="AC836" s="3"/>
    </row>
    <row r="837" spans="26:29" ht="13">
      <c r="Z837" s="3"/>
      <c r="AA837" s="3"/>
      <c r="AB837" s="3"/>
      <c r="AC837" s="3"/>
    </row>
    <row r="838" spans="26:29" ht="13">
      <c r="Z838" s="3"/>
      <c r="AA838" s="3"/>
      <c r="AB838" s="3"/>
      <c r="AC838" s="3"/>
    </row>
    <row r="839" spans="26:29" ht="13">
      <c r="Z839" s="3"/>
      <c r="AA839" s="3"/>
      <c r="AB839" s="3"/>
      <c r="AC839" s="3"/>
    </row>
    <row r="840" spans="26:29" ht="13">
      <c r="Z840" s="3"/>
      <c r="AA840" s="3"/>
      <c r="AB840" s="3"/>
      <c r="AC840" s="3"/>
    </row>
    <row r="841" spans="26:29" ht="13">
      <c r="Z841" s="3"/>
      <c r="AA841" s="3"/>
      <c r="AB841" s="3"/>
      <c r="AC841" s="3"/>
    </row>
    <row r="842" spans="26:29" ht="13">
      <c r="Z842" s="3"/>
      <c r="AA842" s="3"/>
      <c r="AB842" s="3"/>
      <c r="AC842" s="3"/>
    </row>
    <row r="843" spans="26:29" ht="13">
      <c r="Z843" s="3"/>
      <c r="AA843" s="3"/>
      <c r="AB843" s="3"/>
      <c r="AC843" s="3"/>
    </row>
    <row r="844" spans="26:29" ht="13">
      <c r="Z844" s="3"/>
      <c r="AA844" s="3"/>
      <c r="AB844" s="3"/>
      <c r="AC844" s="3"/>
    </row>
    <row r="845" spans="26:29" ht="13">
      <c r="Z845" s="3"/>
      <c r="AA845" s="3"/>
      <c r="AB845" s="3"/>
      <c r="AC845" s="3"/>
    </row>
    <row r="846" spans="26:29" ht="13">
      <c r="Z846" s="3"/>
      <c r="AA846" s="3"/>
      <c r="AB846" s="3"/>
      <c r="AC846" s="3"/>
    </row>
    <row r="847" spans="26:29" ht="13">
      <c r="Z847" s="3"/>
      <c r="AA847" s="3"/>
      <c r="AB847" s="3"/>
      <c r="AC847" s="3"/>
    </row>
    <row r="848" spans="26:29" ht="13">
      <c r="Z848" s="3"/>
      <c r="AA848" s="3"/>
      <c r="AB848" s="3"/>
      <c r="AC848" s="3"/>
    </row>
    <row r="849" spans="26:29" ht="13">
      <c r="Z849" s="3"/>
      <c r="AA849" s="3"/>
      <c r="AB849" s="3"/>
      <c r="AC849" s="3"/>
    </row>
    <row r="850" spans="26:29" ht="13">
      <c r="Z850" s="3"/>
      <c r="AA850" s="3"/>
      <c r="AB850" s="3"/>
      <c r="AC850" s="3"/>
    </row>
    <row r="851" spans="26:29" ht="13">
      <c r="Z851" s="3"/>
      <c r="AA851" s="3"/>
      <c r="AB851" s="3"/>
      <c r="AC851" s="3"/>
    </row>
    <row r="852" spans="26:29" ht="13">
      <c r="Z852" s="3"/>
      <c r="AA852" s="3"/>
      <c r="AB852" s="3"/>
      <c r="AC852" s="3"/>
    </row>
    <row r="853" spans="26:29" ht="13">
      <c r="Z853" s="3"/>
      <c r="AA853" s="3"/>
      <c r="AB853" s="3"/>
      <c r="AC853" s="3"/>
    </row>
    <row r="854" spans="26:29" ht="13">
      <c r="Z854" s="3"/>
      <c r="AA854" s="3"/>
      <c r="AB854" s="3"/>
      <c r="AC854" s="3"/>
    </row>
    <row r="855" spans="26:29" ht="13">
      <c r="Z855" s="3"/>
      <c r="AA855" s="3"/>
      <c r="AB855" s="3"/>
      <c r="AC855" s="3"/>
    </row>
    <row r="856" spans="26:29" ht="13">
      <c r="Z856" s="3"/>
      <c r="AA856" s="3"/>
      <c r="AB856" s="3"/>
      <c r="AC856" s="3"/>
    </row>
    <row r="857" spans="26:29" ht="13">
      <c r="Z857" s="3"/>
      <c r="AA857" s="3"/>
      <c r="AB857" s="3"/>
      <c r="AC857" s="3"/>
    </row>
    <row r="858" spans="26:29" ht="13">
      <c r="Z858" s="3"/>
      <c r="AA858" s="3"/>
      <c r="AB858" s="3"/>
      <c r="AC858" s="3"/>
    </row>
    <row r="859" spans="26:29" ht="13">
      <c r="Z859" s="3"/>
      <c r="AA859" s="3"/>
      <c r="AB859" s="3"/>
      <c r="AC859" s="3"/>
    </row>
    <row r="860" spans="26:29" ht="13">
      <c r="Z860" s="3"/>
      <c r="AA860" s="3"/>
      <c r="AB860" s="3"/>
      <c r="AC860" s="3"/>
    </row>
    <row r="861" spans="26:29" ht="13">
      <c r="Z861" s="3"/>
      <c r="AA861" s="3"/>
      <c r="AB861" s="3"/>
      <c r="AC861" s="3"/>
    </row>
    <row r="862" spans="26:29" ht="13">
      <c r="Z862" s="3"/>
      <c r="AA862" s="3"/>
      <c r="AB862" s="3"/>
      <c r="AC862" s="3"/>
    </row>
    <row r="863" spans="26:29" ht="13">
      <c r="Z863" s="3"/>
      <c r="AA863" s="3"/>
      <c r="AB863" s="3"/>
      <c r="AC863" s="3"/>
    </row>
    <row r="864" spans="26:29" ht="13">
      <c r="Z864" s="3"/>
      <c r="AA864" s="3"/>
      <c r="AB864" s="3"/>
      <c r="AC864" s="3"/>
    </row>
    <row r="865" spans="26:29" ht="13">
      <c r="Z865" s="3"/>
      <c r="AA865" s="3"/>
      <c r="AB865" s="3"/>
      <c r="AC865" s="3"/>
    </row>
    <row r="866" spans="26:29" ht="13">
      <c r="Z866" s="3"/>
      <c r="AA866" s="3"/>
      <c r="AB866" s="3"/>
      <c r="AC866" s="3"/>
    </row>
    <row r="867" spans="26:29" ht="13">
      <c r="Z867" s="3"/>
      <c r="AA867" s="3"/>
      <c r="AB867" s="3"/>
      <c r="AC867" s="3"/>
    </row>
    <row r="868" spans="26:29" ht="13">
      <c r="Z868" s="3"/>
      <c r="AA868" s="3"/>
      <c r="AB868" s="3"/>
      <c r="AC868" s="3"/>
    </row>
    <row r="869" spans="26:29" ht="13">
      <c r="Z869" s="3"/>
      <c r="AA869" s="3"/>
      <c r="AB869" s="3"/>
      <c r="AC869" s="3"/>
    </row>
    <row r="870" spans="26:29" ht="13">
      <c r="Z870" s="3"/>
      <c r="AA870" s="3"/>
      <c r="AB870" s="3"/>
      <c r="AC870" s="3"/>
    </row>
    <row r="871" spans="26:29" ht="13">
      <c r="Z871" s="3"/>
      <c r="AA871" s="3"/>
      <c r="AB871" s="3"/>
      <c r="AC871" s="3"/>
    </row>
    <row r="872" spans="26:29" ht="13">
      <c r="Z872" s="3"/>
      <c r="AA872" s="3"/>
      <c r="AB872" s="3"/>
      <c r="AC872" s="3"/>
    </row>
    <row r="873" spans="26:29" ht="13">
      <c r="Z873" s="3"/>
      <c r="AA873" s="3"/>
      <c r="AB873" s="3"/>
      <c r="AC873" s="3"/>
    </row>
    <row r="874" spans="26:29" ht="13">
      <c r="Z874" s="3"/>
      <c r="AA874" s="3"/>
      <c r="AB874" s="3"/>
      <c r="AC874" s="3"/>
    </row>
    <row r="875" spans="26:29" ht="13">
      <c r="Z875" s="3"/>
      <c r="AA875" s="3"/>
      <c r="AB875" s="3"/>
      <c r="AC875" s="3"/>
    </row>
    <row r="876" spans="26:29" ht="13">
      <c r="Z876" s="3"/>
      <c r="AA876" s="3"/>
      <c r="AB876" s="3"/>
      <c r="AC876" s="3"/>
    </row>
    <row r="877" spans="26:29" ht="13">
      <c r="Z877" s="3"/>
      <c r="AA877" s="3"/>
      <c r="AB877" s="3"/>
      <c r="AC877" s="3"/>
    </row>
    <row r="878" spans="26:29" ht="13">
      <c r="Z878" s="3"/>
      <c r="AA878" s="3"/>
      <c r="AB878" s="3"/>
      <c r="AC878" s="3"/>
    </row>
    <row r="879" spans="26:29" ht="13">
      <c r="Z879" s="3"/>
      <c r="AA879" s="3"/>
      <c r="AB879" s="3"/>
      <c r="AC879" s="3"/>
    </row>
    <row r="880" spans="26:29" ht="13">
      <c r="Z880" s="3"/>
      <c r="AA880" s="3"/>
      <c r="AB880" s="3"/>
      <c r="AC880" s="3"/>
    </row>
    <row r="881" spans="26:29" ht="13">
      <c r="Z881" s="3"/>
      <c r="AA881" s="3"/>
      <c r="AB881" s="3"/>
      <c r="AC881" s="3"/>
    </row>
    <row r="882" spans="26:29" ht="13">
      <c r="Z882" s="3"/>
      <c r="AA882" s="3"/>
      <c r="AB882" s="3"/>
      <c r="AC882" s="3"/>
    </row>
    <row r="883" spans="26:29" ht="13">
      <c r="Z883" s="3"/>
      <c r="AA883" s="3"/>
      <c r="AB883" s="3"/>
      <c r="AC883" s="3"/>
    </row>
    <row r="884" spans="26:29" ht="13">
      <c r="Z884" s="3"/>
      <c r="AA884" s="3"/>
      <c r="AB884" s="3"/>
      <c r="AC884" s="3"/>
    </row>
    <row r="885" spans="26:29" ht="13">
      <c r="Z885" s="3"/>
      <c r="AA885" s="3"/>
      <c r="AB885" s="3"/>
      <c r="AC885" s="3"/>
    </row>
    <row r="886" spans="26:29" ht="13">
      <c r="Z886" s="3"/>
      <c r="AA886" s="3"/>
      <c r="AB886" s="3"/>
      <c r="AC886" s="3"/>
    </row>
    <row r="887" spans="26:29" ht="13">
      <c r="Z887" s="3"/>
      <c r="AA887" s="3"/>
      <c r="AB887" s="3"/>
      <c r="AC887" s="3"/>
    </row>
    <row r="888" spans="26:29" ht="13">
      <c r="Z888" s="3"/>
      <c r="AA888" s="3"/>
      <c r="AB888" s="3"/>
      <c r="AC888" s="3"/>
    </row>
    <row r="889" spans="26:29" ht="13">
      <c r="Z889" s="3"/>
      <c r="AA889" s="3"/>
      <c r="AB889" s="3"/>
      <c r="AC889" s="3"/>
    </row>
    <row r="890" spans="26:29" ht="13">
      <c r="Z890" s="3"/>
      <c r="AA890" s="3"/>
      <c r="AB890" s="3"/>
      <c r="AC890" s="3"/>
    </row>
    <row r="891" spans="26:29" ht="13">
      <c r="Z891" s="3"/>
      <c r="AA891" s="3"/>
      <c r="AB891" s="3"/>
      <c r="AC891" s="3"/>
    </row>
    <row r="892" spans="26:29" ht="13">
      <c r="Z892" s="3"/>
      <c r="AA892" s="3"/>
      <c r="AB892" s="3"/>
      <c r="AC892" s="3"/>
    </row>
    <row r="893" spans="26:29" ht="13">
      <c r="Z893" s="3"/>
      <c r="AA893" s="3"/>
      <c r="AB893" s="3"/>
      <c r="AC893" s="3"/>
    </row>
    <row r="894" spans="26:29" ht="13">
      <c r="Z894" s="3"/>
      <c r="AA894" s="3"/>
      <c r="AB894" s="3"/>
      <c r="AC894" s="3"/>
    </row>
    <row r="895" spans="26:29" ht="13">
      <c r="Z895" s="3"/>
      <c r="AA895" s="3"/>
      <c r="AB895" s="3"/>
      <c r="AC895" s="3"/>
    </row>
    <row r="896" spans="26:29" ht="13">
      <c r="Z896" s="3"/>
      <c r="AA896" s="3"/>
      <c r="AB896" s="3"/>
      <c r="AC896" s="3"/>
    </row>
    <row r="897" spans="26:29" ht="13">
      <c r="Z897" s="3"/>
      <c r="AA897" s="3"/>
      <c r="AB897" s="3"/>
      <c r="AC897" s="3"/>
    </row>
    <row r="898" spans="26:29" ht="13">
      <c r="Z898" s="3"/>
      <c r="AA898" s="3"/>
      <c r="AB898" s="3"/>
      <c r="AC898" s="3"/>
    </row>
    <row r="899" spans="26:29" ht="13">
      <c r="Z899" s="3"/>
      <c r="AA899" s="3"/>
      <c r="AB899" s="3"/>
      <c r="AC899" s="3"/>
    </row>
    <row r="900" spans="26:29" ht="13">
      <c r="Z900" s="3"/>
      <c r="AA900" s="3"/>
      <c r="AB900" s="3"/>
      <c r="AC900" s="3"/>
    </row>
    <row r="901" spans="26:29" ht="13">
      <c r="Z901" s="3"/>
      <c r="AA901" s="3"/>
      <c r="AB901" s="3"/>
      <c r="AC901" s="3"/>
    </row>
    <row r="902" spans="26:29" ht="13">
      <c r="Z902" s="3"/>
      <c r="AA902" s="3"/>
      <c r="AB902" s="3"/>
      <c r="AC902" s="3"/>
    </row>
    <row r="903" spans="26:29" ht="13">
      <c r="Z903" s="3"/>
      <c r="AA903" s="3"/>
      <c r="AB903" s="3"/>
      <c r="AC903" s="3"/>
    </row>
    <row r="904" spans="26:29" ht="13">
      <c r="Z904" s="3"/>
      <c r="AA904" s="3"/>
      <c r="AB904" s="3"/>
      <c r="AC904" s="3"/>
    </row>
    <row r="905" spans="26:29" ht="13">
      <c r="Z905" s="3"/>
      <c r="AA905" s="3"/>
      <c r="AB905" s="3"/>
      <c r="AC905" s="3"/>
    </row>
    <row r="906" spans="26:29" ht="13">
      <c r="Z906" s="3"/>
      <c r="AA906" s="3"/>
      <c r="AB906" s="3"/>
      <c r="AC906" s="3"/>
    </row>
    <row r="907" spans="26:29" ht="13">
      <c r="Z907" s="3"/>
      <c r="AA907" s="3"/>
      <c r="AB907" s="3"/>
      <c r="AC907" s="3"/>
    </row>
    <row r="908" spans="26:29" ht="13">
      <c r="Z908" s="3"/>
      <c r="AA908" s="3"/>
      <c r="AB908" s="3"/>
      <c r="AC908" s="3"/>
    </row>
    <row r="909" spans="26:29" ht="13">
      <c r="Z909" s="3"/>
      <c r="AA909" s="3"/>
      <c r="AB909" s="3"/>
      <c r="AC909" s="3"/>
    </row>
    <row r="910" spans="26:29" ht="13">
      <c r="Z910" s="3"/>
      <c r="AA910" s="3"/>
      <c r="AB910" s="3"/>
      <c r="AC910" s="3"/>
    </row>
    <row r="911" spans="26:29" ht="13">
      <c r="Z911" s="3"/>
      <c r="AA911" s="3"/>
      <c r="AB911" s="3"/>
      <c r="AC911" s="3"/>
    </row>
    <row r="912" spans="26:29" ht="13">
      <c r="Z912" s="3"/>
      <c r="AA912" s="3"/>
      <c r="AB912" s="3"/>
      <c r="AC912" s="3"/>
    </row>
    <row r="913" spans="26:29" ht="13">
      <c r="Z913" s="3"/>
      <c r="AA913" s="3"/>
      <c r="AB913" s="3"/>
      <c r="AC913" s="3"/>
    </row>
    <row r="914" spans="26:29" ht="13">
      <c r="Z914" s="3"/>
      <c r="AA914" s="3"/>
      <c r="AB914" s="3"/>
      <c r="AC914" s="3"/>
    </row>
    <row r="915" spans="26:29" ht="13">
      <c r="Z915" s="3"/>
      <c r="AA915" s="3"/>
      <c r="AB915" s="3"/>
      <c r="AC915" s="3"/>
    </row>
    <row r="916" spans="26:29" ht="13">
      <c r="Z916" s="3"/>
      <c r="AA916" s="3"/>
      <c r="AB916" s="3"/>
      <c r="AC916" s="3"/>
    </row>
    <row r="917" spans="26:29" ht="13">
      <c r="Z917" s="3"/>
      <c r="AA917" s="3"/>
      <c r="AB917" s="3"/>
      <c r="AC917" s="3"/>
    </row>
    <row r="918" spans="26:29" ht="13">
      <c r="Z918" s="3"/>
      <c r="AA918" s="3"/>
      <c r="AB918" s="3"/>
      <c r="AC918" s="3"/>
    </row>
    <row r="919" spans="26:29" ht="13">
      <c r="Z919" s="3"/>
      <c r="AA919" s="3"/>
      <c r="AB919" s="3"/>
      <c r="AC919" s="3"/>
    </row>
    <row r="920" spans="26:29" ht="13">
      <c r="Z920" s="3"/>
      <c r="AA920" s="3"/>
      <c r="AB920" s="3"/>
      <c r="AC920" s="3"/>
    </row>
    <row r="921" spans="26:29" ht="13">
      <c r="Z921" s="3"/>
      <c r="AA921" s="3"/>
      <c r="AB921" s="3"/>
      <c r="AC921" s="3"/>
    </row>
    <row r="922" spans="26:29" ht="13">
      <c r="Z922" s="3"/>
      <c r="AA922" s="3"/>
      <c r="AB922" s="3"/>
      <c r="AC922" s="3"/>
    </row>
    <row r="923" spans="26:29" ht="13">
      <c r="Z923" s="3"/>
      <c r="AA923" s="3"/>
      <c r="AB923" s="3"/>
      <c r="AC923" s="3"/>
    </row>
    <row r="924" spans="26:29" ht="13">
      <c r="Z924" s="3"/>
      <c r="AA924" s="3"/>
      <c r="AB924" s="3"/>
      <c r="AC924" s="3"/>
    </row>
    <row r="925" spans="26:29" ht="13">
      <c r="Z925" s="3"/>
      <c r="AA925" s="3"/>
      <c r="AB925" s="3"/>
      <c r="AC925" s="3"/>
    </row>
    <row r="926" spans="26:29" ht="13">
      <c r="Z926" s="3"/>
      <c r="AA926" s="3"/>
      <c r="AB926" s="3"/>
      <c r="AC926" s="3"/>
    </row>
    <row r="927" spans="26:29" ht="13">
      <c r="Z927" s="3"/>
      <c r="AA927" s="3"/>
      <c r="AB927" s="3"/>
      <c r="AC927" s="3"/>
    </row>
    <row r="928" spans="26:29" ht="13">
      <c r="Z928" s="3"/>
      <c r="AA928" s="3"/>
      <c r="AB928" s="3"/>
      <c r="AC928" s="3"/>
    </row>
    <row r="929" spans="26:29" ht="13">
      <c r="Z929" s="3"/>
      <c r="AA929" s="3"/>
      <c r="AB929" s="3"/>
      <c r="AC929" s="3"/>
    </row>
    <row r="930" spans="26:29" ht="13">
      <c r="Z930" s="3"/>
      <c r="AA930" s="3"/>
      <c r="AB930" s="3"/>
      <c r="AC930" s="3"/>
    </row>
    <row r="931" spans="26:29" ht="13">
      <c r="Z931" s="3"/>
      <c r="AA931" s="3"/>
      <c r="AB931" s="3"/>
      <c r="AC931" s="3"/>
    </row>
    <row r="932" spans="26:29" ht="13">
      <c r="Z932" s="3"/>
      <c r="AA932" s="3"/>
      <c r="AB932" s="3"/>
      <c r="AC932" s="3"/>
    </row>
    <row r="933" spans="26:29" ht="13">
      <c r="Z933" s="3"/>
      <c r="AA933" s="3"/>
      <c r="AB933" s="3"/>
      <c r="AC933" s="3"/>
    </row>
    <row r="934" spans="26:29" ht="13">
      <c r="Z934" s="3"/>
      <c r="AA934" s="3"/>
      <c r="AB934" s="3"/>
      <c r="AC934" s="3"/>
    </row>
    <row r="935" spans="26:29" ht="13">
      <c r="Z935" s="3"/>
      <c r="AA935" s="3"/>
      <c r="AB935" s="3"/>
      <c r="AC935" s="3"/>
    </row>
    <row r="936" spans="26:29" ht="13">
      <c r="Z936" s="3"/>
      <c r="AA936" s="3"/>
      <c r="AB936" s="3"/>
      <c r="AC936" s="3"/>
    </row>
    <row r="937" spans="26:29" ht="13">
      <c r="Z937" s="3"/>
      <c r="AA937" s="3"/>
      <c r="AB937" s="3"/>
      <c r="AC937" s="3"/>
    </row>
    <row r="938" spans="26:29" ht="13">
      <c r="Z938" s="3"/>
      <c r="AA938" s="3"/>
      <c r="AB938" s="3"/>
      <c r="AC938" s="3"/>
    </row>
    <row r="939" spans="26:29" ht="13">
      <c r="Z939" s="3"/>
      <c r="AA939" s="3"/>
      <c r="AB939" s="3"/>
      <c r="AC939" s="3"/>
    </row>
    <row r="940" spans="26:29" ht="13">
      <c r="Z940" s="3"/>
      <c r="AA940" s="3"/>
      <c r="AB940" s="3"/>
      <c r="AC940" s="3"/>
    </row>
    <row r="941" spans="26:29" ht="13">
      <c r="Z941" s="3"/>
      <c r="AA941" s="3"/>
      <c r="AB941" s="3"/>
      <c r="AC941" s="3"/>
    </row>
    <row r="942" spans="26:29" ht="13">
      <c r="Z942" s="3"/>
      <c r="AA942" s="3"/>
      <c r="AB942" s="3"/>
      <c r="AC942" s="3"/>
    </row>
    <row r="943" spans="26:29" ht="13">
      <c r="Z943" s="3"/>
      <c r="AA943" s="3"/>
      <c r="AB943" s="3"/>
      <c r="AC943" s="3"/>
    </row>
    <row r="944" spans="26:29" ht="13">
      <c r="Z944" s="3"/>
      <c r="AA944" s="3"/>
      <c r="AB944" s="3"/>
      <c r="AC944" s="3"/>
    </row>
    <row r="945" spans="26:29" ht="13">
      <c r="Z945" s="3"/>
      <c r="AA945" s="3"/>
      <c r="AB945" s="3"/>
      <c r="AC945" s="3"/>
    </row>
    <row r="946" spans="26:29" ht="13">
      <c r="Z946" s="3"/>
      <c r="AA946" s="3"/>
      <c r="AB946" s="3"/>
      <c r="AC946" s="3"/>
    </row>
    <row r="947" spans="26:29" ht="13">
      <c r="Z947" s="3"/>
      <c r="AA947" s="3"/>
      <c r="AB947" s="3"/>
      <c r="AC947" s="3"/>
    </row>
    <row r="948" spans="26:29" ht="13">
      <c r="Z948" s="3"/>
      <c r="AA948" s="3"/>
      <c r="AB948" s="3"/>
      <c r="AC948" s="3"/>
    </row>
    <row r="949" spans="26:29" ht="13">
      <c r="Z949" s="3"/>
      <c r="AA949" s="3"/>
      <c r="AB949" s="3"/>
      <c r="AC949" s="3"/>
    </row>
    <row r="950" spans="26:29" ht="13">
      <c r="Z950" s="3"/>
      <c r="AA950" s="3"/>
      <c r="AB950" s="3"/>
      <c r="AC950" s="3"/>
    </row>
    <row r="951" spans="26:29" ht="13">
      <c r="Z951" s="3"/>
      <c r="AA951" s="3"/>
      <c r="AB951" s="3"/>
      <c r="AC951" s="3"/>
    </row>
    <row r="952" spans="26:29" ht="13">
      <c r="Z952" s="3"/>
      <c r="AA952" s="3"/>
      <c r="AB952" s="3"/>
      <c r="AC952" s="3"/>
    </row>
    <row r="953" spans="26:29" ht="13">
      <c r="Z953" s="3"/>
      <c r="AA953" s="3"/>
      <c r="AB953" s="3"/>
      <c r="AC953" s="3"/>
    </row>
    <row r="954" spans="26:29" ht="13">
      <c r="Z954" s="3"/>
      <c r="AA954" s="3"/>
      <c r="AB954" s="3"/>
      <c r="AC954" s="3"/>
    </row>
    <row r="955" spans="26:29" ht="13">
      <c r="Z955" s="3"/>
      <c r="AA955" s="3"/>
      <c r="AB955" s="3"/>
      <c r="AC955" s="3"/>
    </row>
    <row r="956" spans="26:29" ht="13">
      <c r="Z956" s="3"/>
      <c r="AA956" s="3"/>
      <c r="AB956" s="3"/>
      <c r="AC956" s="3"/>
    </row>
    <row r="957" spans="26:29" ht="13">
      <c r="Z957" s="3"/>
      <c r="AA957" s="3"/>
      <c r="AB957" s="3"/>
      <c r="AC957" s="3"/>
    </row>
    <row r="958" spans="26:29" ht="13">
      <c r="Z958" s="3"/>
      <c r="AA958" s="3"/>
      <c r="AB958" s="3"/>
      <c r="AC958" s="3"/>
    </row>
    <row r="959" spans="26:29" ht="13">
      <c r="Z959" s="3"/>
      <c r="AA959" s="3"/>
      <c r="AB959" s="3"/>
      <c r="AC959" s="3"/>
    </row>
    <row r="960" spans="26:29" ht="13">
      <c r="Z960" s="3"/>
      <c r="AA960" s="3"/>
      <c r="AB960" s="3"/>
      <c r="AC960" s="3"/>
    </row>
    <row r="961" spans="26:29" ht="13">
      <c r="Z961" s="3"/>
      <c r="AA961" s="3"/>
      <c r="AB961" s="3"/>
      <c r="AC961" s="3"/>
    </row>
    <row r="962" spans="26:29" ht="13">
      <c r="Z962" s="3"/>
      <c r="AA962" s="3"/>
      <c r="AB962" s="3"/>
      <c r="AC962" s="3"/>
    </row>
    <row r="963" spans="26:29" ht="13">
      <c r="Z963" s="3"/>
      <c r="AA963" s="3"/>
      <c r="AB963" s="3"/>
      <c r="AC963" s="3"/>
    </row>
    <row r="964" spans="26:29" ht="13">
      <c r="Z964" s="3"/>
      <c r="AA964" s="3"/>
      <c r="AB964" s="3"/>
      <c r="AC964" s="3"/>
    </row>
    <row r="965" spans="26:29" ht="13">
      <c r="Z965" s="3"/>
      <c r="AA965" s="3"/>
      <c r="AB965" s="3"/>
      <c r="AC965" s="3"/>
    </row>
    <row r="966" spans="26:29" ht="13">
      <c r="Z966" s="3"/>
      <c r="AA966" s="3"/>
      <c r="AB966" s="3"/>
      <c r="AC966" s="3"/>
    </row>
    <row r="967" spans="26:29" ht="13">
      <c r="Z967" s="3"/>
      <c r="AA967" s="3"/>
      <c r="AB967" s="3"/>
      <c r="AC967" s="3"/>
    </row>
    <row r="968" spans="26:29" ht="13">
      <c r="Z968" s="3"/>
      <c r="AA968" s="3"/>
      <c r="AB968" s="3"/>
      <c r="AC968" s="3"/>
    </row>
    <row r="969" spans="26:29" ht="13">
      <c r="Z969" s="3"/>
      <c r="AA969" s="3"/>
      <c r="AB969" s="3"/>
      <c r="AC969" s="3"/>
    </row>
    <row r="970" spans="26:29" ht="13">
      <c r="Z970" s="3"/>
      <c r="AA970" s="3"/>
      <c r="AB970" s="3"/>
      <c r="AC970" s="3"/>
    </row>
    <row r="971" spans="26:29" ht="13">
      <c r="Z971" s="3"/>
      <c r="AA971" s="3"/>
      <c r="AB971" s="3"/>
      <c r="AC971" s="3"/>
    </row>
    <row r="972" spans="26:29" ht="13">
      <c r="Z972" s="3"/>
      <c r="AA972" s="3"/>
      <c r="AB972" s="3"/>
      <c r="AC972" s="3"/>
    </row>
    <row r="973" spans="26:29" ht="13">
      <c r="Z973" s="3"/>
      <c r="AA973" s="3"/>
      <c r="AB973" s="3"/>
      <c r="AC973" s="3"/>
    </row>
    <row r="974" spans="26:29" ht="13">
      <c r="Z974" s="3"/>
      <c r="AA974" s="3"/>
      <c r="AB974" s="3"/>
      <c r="AC974" s="3"/>
    </row>
    <row r="975" spans="26:29" ht="13">
      <c r="Z975" s="3"/>
      <c r="AA975" s="3"/>
      <c r="AB975" s="3"/>
      <c r="AC975" s="3"/>
    </row>
    <row r="976" spans="26:29" ht="13">
      <c r="Z976" s="3"/>
      <c r="AA976" s="3"/>
      <c r="AB976" s="3"/>
      <c r="AC976" s="3"/>
    </row>
    <row r="977" spans="26:29" ht="13">
      <c r="Z977" s="3"/>
      <c r="AA977" s="3"/>
      <c r="AB977" s="3"/>
      <c r="AC977" s="3"/>
    </row>
    <row r="978" spans="26:29" ht="13">
      <c r="Z978" s="3"/>
      <c r="AA978" s="3"/>
      <c r="AB978" s="3"/>
      <c r="AC978" s="3"/>
    </row>
    <row r="979" spans="26:29" ht="13">
      <c r="Z979" s="3"/>
      <c r="AA979" s="3"/>
      <c r="AB979" s="3"/>
      <c r="AC979" s="3"/>
    </row>
    <row r="980" spans="26:29" ht="13">
      <c r="Z980" s="3"/>
      <c r="AA980" s="3"/>
      <c r="AB980" s="3"/>
      <c r="AC980" s="3"/>
    </row>
    <row r="981" spans="26:29" ht="13">
      <c r="Z981" s="3"/>
      <c r="AA981" s="3"/>
      <c r="AB981" s="3"/>
      <c r="AC981" s="3"/>
    </row>
    <row r="982" spans="26:29" ht="13">
      <c r="Z982" s="3"/>
      <c r="AA982" s="3"/>
      <c r="AB982" s="3"/>
      <c r="AC982" s="3"/>
    </row>
    <row r="983" spans="26:29" ht="13">
      <c r="Z983" s="3"/>
      <c r="AA983" s="3"/>
      <c r="AB983" s="3"/>
      <c r="AC983" s="3"/>
    </row>
    <row r="984" spans="26:29" ht="13">
      <c r="Z984" s="3"/>
      <c r="AA984" s="3"/>
      <c r="AB984" s="3"/>
      <c r="AC984" s="3"/>
    </row>
    <row r="985" spans="26:29" ht="13">
      <c r="Z985" s="3"/>
      <c r="AA985" s="3"/>
      <c r="AB985" s="3"/>
      <c r="AC985" s="3"/>
    </row>
    <row r="986" spans="26:29" ht="13">
      <c r="Z986" s="3"/>
      <c r="AA986" s="3"/>
      <c r="AB986" s="3"/>
      <c r="AC986" s="3"/>
    </row>
    <row r="987" spans="26:29" ht="13">
      <c r="Z987" s="3"/>
      <c r="AA987" s="3"/>
      <c r="AB987" s="3"/>
      <c r="AC987" s="3"/>
    </row>
    <row r="988" spans="26:29" ht="13">
      <c r="Z988" s="3"/>
      <c r="AA988" s="3"/>
      <c r="AB988" s="3"/>
      <c r="AC988" s="3"/>
    </row>
    <row r="989" spans="26:29" ht="13">
      <c r="Z989" s="3"/>
      <c r="AA989" s="3"/>
      <c r="AB989" s="3"/>
      <c r="AC989" s="3"/>
    </row>
    <row r="990" spans="26:29" ht="13">
      <c r="Z990" s="3"/>
      <c r="AA990" s="3"/>
      <c r="AB990" s="3"/>
      <c r="AC990" s="3"/>
    </row>
    <row r="991" spans="26:29" ht="13">
      <c r="Z991" s="3"/>
      <c r="AA991" s="3"/>
      <c r="AB991" s="3"/>
      <c r="AC991" s="3"/>
    </row>
    <row r="992" spans="26:29" ht="13">
      <c r="Z992" s="3"/>
      <c r="AA992" s="3"/>
      <c r="AB992" s="3"/>
      <c r="AC992" s="3"/>
    </row>
    <row r="993" spans="26:29" ht="13">
      <c r="Z993" s="3"/>
      <c r="AA993" s="3"/>
      <c r="AB993" s="3"/>
      <c r="AC993" s="3"/>
    </row>
    <row r="994" spans="26:29" ht="13">
      <c r="Z994" s="3"/>
      <c r="AA994" s="3"/>
      <c r="AB994" s="3"/>
      <c r="AC994" s="3"/>
    </row>
    <row r="995" spans="26:29" ht="13">
      <c r="Z995" s="3"/>
      <c r="AA995" s="3"/>
      <c r="AB995" s="3"/>
      <c r="AC995" s="3"/>
    </row>
    <row r="996" spans="26:29" ht="13">
      <c r="Z996" s="3"/>
      <c r="AA996" s="3"/>
      <c r="AB996" s="3"/>
      <c r="AC996" s="3"/>
    </row>
    <row r="997" spans="26:29" ht="13">
      <c r="Z997" s="3"/>
      <c r="AA997" s="3"/>
      <c r="AB997" s="3"/>
      <c r="AC997" s="3"/>
    </row>
    <row r="998" spans="26:29" ht="13">
      <c r="Z998" s="3"/>
      <c r="AA998" s="3"/>
      <c r="AB998" s="3"/>
      <c r="AC998" s="3"/>
    </row>
    <row r="999" spans="26:29" ht="13">
      <c r="Z999" s="3"/>
      <c r="AA999" s="3"/>
      <c r="AB999" s="3"/>
      <c r="AC999" s="3"/>
    </row>
    <row r="1000" spans="26:29" ht="13">
      <c r="Z1000" s="3"/>
      <c r="AA1000" s="3"/>
      <c r="AB1000" s="3"/>
      <c r="AC1000" s="3"/>
    </row>
    <row r="1001" spans="26:29" ht="13">
      <c r="Z1001" s="3"/>
      <c r="AA1001" s="3"/>
      <c r="AB1001" s="3"/>
      <c r="AC1001" s="3"/>
    </row>
    <row r="1002" spans="26:29" ht="13">
      <c r="Z1002" s="3"/>
      <c r="AA1002" s="3"/>
      <c r="AB1002" s="3"/>
      <c r="AC1002" s="3"/>
    </row>
    <row r="1003" spans="26:29" ht="13">
      <c r="Z1003" s="3"/>
      <c r="AA1003" s="3"/>
      <c r="AB1003" s="3"/>
      <c r="AC1003" s="3"/>
    </row>
    <row r="1004" spans="26:29" ht="13">
      <c r="Z1004" s="3"/>
      <c r="AA1004" s="3"/>
      <c r="AB1004" s="3"/>
      <c r="AC1004" s="3"/>
    </row>
    <row r="1005" spans="26:29" ht="13">
      <c r="Z1005" s="3"/>
      <c r="AA1005" s="3"/>
      <c r="AB1005" s="3"/>
      <c r="AC1005" s="3"/>
    </row>
    <row r="1006" spans="26:29" ht="13">
      <c r="Z1006" s="3"/>
      <c r="AA1006" s="3"/>
      <c r="AB1006" s="3"/>
      <c r="AC1006" s="3"/>
    </row>
    <row r="1007" spans="26:29" ht="13">
      <c r="Z1007" s="3"/>
      <c r="AA1007" s="3"/>
      <c r="AB1007" s="3"/>
      <c r="AC1007" s="3"/>
    </row>
    <row r="1008" spans="26:29" ht="13">
      <c r="Z1008" s="3"/>
      <c r="AA1008" s="3"/>
      <c r="AB1008" s="3"/>
      <c r="AC1008" s="3"/>
    </row>
    <row r="1009" spans="26:29" ht="13">
      <c r="Z1009" s="3"/>
      <c r="AA1009" s="3"/>
      <c r="AB1009" s="3"/>
      <c r="AC1009" s="3"/>
    </row>
    <row r="1010" spans="26:29" ht="13">
      <c r="Z1010" s="3"/>
      <c r="AA1010" s="3"/>
      <c r="AB1010" s="3"/>
      <c r="AC1010" s="3"/>
    </row>
    <row r="1011" spans="26:29" ht="13">
      <c r="Z1011" s="3"/>
      <c r="AA1011" s="3"/>
      <c r="AB1011" s="3"/>
      <c r="AC1011" s="3"/>
    </row>
    <row r="1012" spans="26:29" ht="13">
      <c r="Z1012" s="3"/>
      <c r="AA1012" s="3"/>
      <c r="AB1012" s="3"/>
      <c r="AC1012" s="3"/>
    </row>
    <row r="1013" spans="26:29" ht="13">
      <c r="Z1013" s="3"/>
      <c r="AA1013" s="3"/>
      <c r="AB1013" s="3"/>
      <c r="AC1013" s="3"/>
    </row>
    <row r="1014" spans="26:29" ht="13">
      <c r="Z1014" s="3"/>
      <c r="AA1014" s="3"/>
      <c r="AB1014" s="3"/>
      <c r="AC1014" s="3"/>
    </row>
    <row r="1015" spans="26:29" ht="13">
      <c r="Z1015" s="3"/>
      <c r="AA1015" s="3"/>
      <c r="AB1015" s="3"/>
      <c r="AC1015" s="3"/>
    </row>
  </sheetData>
  <conditionalFormatting sqref="Z43:AG50">
    <cfRule type="colorScale" priority="1">
      <colorScale>
        <cfvo type="min"/>
        <cfvo type="max"/>
        <color theme="7" tint="-0.249977111117893"/>
        <color rgb="FFFFFF00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CFDE-1E6A-5A4E-9550-86342C29B5BC}">
  <sheetPr>
    <outlinePr summaryBelow="0" summaryRight="0"/>
  </sheetPr>
  <dimension ref="A1:AP1027"/>
  <sheetViews>
    <sheetView workbookViewId="0">
      <pane ySplit="1" topLeftCell="A2" activePane="bottomLeft" state="frozen"/>
      <selection pane="bottomLeft" activeCell="AD89" sqref="AD89"/>
    </sheetView>
  </sheetViews>
  <sheetFormatPr baseColWidth="10" defaultColWidth="12.6640625" defaultRowHeight="15.75" customHeight="1"/>
  <cols>
    <col min="1" max="1" width="3.33203125" customWidth="1"/>
    <col min="2" max="2" width="3.6640625" customWidth="1"/>
    <col min="3" max="9" width="3.1640625" customWidth="1"/>
    <col min="10" max="21" width="3.83203125" customWidth="1"/>
    <col min="22" max="22" width="2.1640625" customWidth="1"/>
    <col min="23" max="23" width="2.6640625" customWidth="1"/>
    <col min="24" max="24" width="3.6640625" customWidth="1"/>
    <col min="25" max="29" width="3.33203125" customWidth="1"/>
    <col min="30" max="41" width="5.33203125" customWidth="1"/>
    <col min="42" max="46" width="4.83203125" customWidth="1"/>
  </cols>
  <sheetData>
    <row r="1" spans="1:41" ht="15" customHeight="1">
      <c r="A1" s="42" t="s">
        <v>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3"/>
      <c r="W1" s="43"/>
      <c r="X1" s="43"/>
      <c r="Y1" s="43"/>
      <c r="Z1" s="43"/>
      <c r="AA1" s="43"/>
      <c r="AB1" s="43"/>
      <c r="AC1" s="43"/>
    </row>
    <row r="2" spans="1:41" ht="13">
      <c r="A2" s="3"/>
      <c r="B2" s="34"/>
      <c r="C2" s="4"/>
      <c r="D2" s="4"/>
      <c r="E2" s="4"/>
      <c r="J2" s="1"/>
      <c r="AD2" s="2"/>
      <c r="AE2" s="3"/>
      <c r="AF2" s="3"/>
      <c r="AG2" s="3"/>
    </row>
    <row r="3" spans="1:41" ht="13">
      <c r="A3" s="3"/>
      <c r="B3" s="4"/>
      <c r="C3" s="4"/>
      <c r="D3" s="4"/>
      <c r="E3" s="4"/>
      <c r="G3" s="4" t="s">
        <v>0</v>
      </c>
      <c r="J3" s="1" t="s">
        <v>1</v>
      </c>
      <c r="AD3" s="2" t="s">
        <v>2</v>
      </c>
      <c r="AE3" s="3"/>
      <c r="AF3" s="3"/>
      <c r="AG3" s="3"/>
    </row>
    <row r="4" spans="1:41" ht="13">
      <c r="G4" s="4" t="s">
        <v>74</v>
      </c>
      <c r="J4" s="3" t="s">
        <v>3</v>
      </c>
      <c r="K4" s="3" t="s">
        <v>4</v>
      </c>
      <c r="L4" s="3" t="s">
        <v>5</v>
      </c>
      <c r="M4" s="3" t="s">
        <v>6</v>
      </c>
      <c r="N4" s="3" t="s">
        <v>80</v>
      </c>
      <c r="O4" s="3" t="s">
        <v>82</v>
      </c>
      <c r="P4" s="3" t="s">
        <v>83</v>
      </c>
      <c r="Q4" s="3" t="s">
        <v>84</v>
      </c>
      <c r="R4" s="3" t="s">
        <v>100</v>
      </c>
      <c r="S4" s="3" t="s">
        <v>101</v>
      </c>
      <c r="T4" s="3" t="s">
        <v>102</v>
      </c>
      <c r="U4" s="3" t="s">
        <v>103</v>
      </c>
      <c r="W4" s="5"/>
      <c r="X4" s="6"/>
      <c r="Y4" s="6"/>
      <c r="Z4" s="6"/>
      <c r="AA4" s="6"/>
      <c r="AB4" s="6"/>
      <c r="AC4" s="7"/>
      <c r="AD4" s="3" t="s">
        <v>7</v>
      </c>
      <c r="AE4" s="3" t="s">
        <v>8</v>
      </c>
      <c r="AF4" s="3" t="s">
        <v>9</v>
      </c>
      <c r="AG4" s="3" t="s">
        <v>10</v>
      </c>
      <c r="AH4" s="3" t="s">
        <v>85</v>
      </c>
      <c r="AI4" s="3" t="s">
        <v>86</v>
      </c>
      <c r="AJ4" s="3" t="s">
        <v>87</v>
      </c>
      <c r="AK4" s="3" t="s">
        <v>88</v>
      </c>
      <c r="AL4" s="3" t="s">
        <v>104</v>
      </c>
      <c r="AM4" s="3" t="s">
        <v>105</v>
      </c>
      <c r="AN4" s="3" t="s">
        <v>106</v>
      </c>
      <c r="AO4" s="3" t="s">
        <v>107</v>
      </c>
    </row>
    <row r="5" spans="1:41" ht="13">
      <c r="A5" s="37" t="s">
        <v>79</v>
      </c>
      <c r="E5">
        <v>8</v>
      </c>
      <c r="J5" s="8">
        <v>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1</v>
      </c>
      <c r="T5" s="8">
        <v>0</v>
      </c>
      <c r="U5" s="8">
        <v>2</v>
      </c>
      <c r="W5" s="5"/>
      <c r="X5" s="9"/>
      <c r="AD5" s="57">
        <f>J14</f>
        <v>2</v>
      </c>
      <c r="AE5" s="57">
        <f t="shared" ref="AE5:AO5" si="0">K14</f>
        <v>1</v>
      </c>
      <c r="AF5" s="57">
        <f t="shared" si="0"/>
        <v>1</v>
      </c>
      <c r="AG5" s="57">
        <f t="shared" si="0"/>
        <v>0</v>
      </c>
      <c r="AH5" s="57">
        <f t="shared" si="0"/>
        <v>1</v>
      </c>
      <c r="AI5" s="57">
        <f t="shared" si="0"/>
        <v>0</v>
      </c>
      <c r="AJ5" s="57">
        <f t="shared" si="0"/>
        <v>0</v>
      </c>
      <c r="AK5" s="57">
        <f t="shared" si="0"/>
        <v>1</v>
      </c>
      <c r="AL5" s="57">
        <f t="shared" si="0"/>
        <v>-1</v>
      </c>
      <c r="AM5" s="57">
        <f t="shared" si="0"/>
        <v>1</v>
      </c>
      <c r="AN5" s="57">
        <f t="shared" si="0"/>
        <v>0</v>
      </c>
      <c r="AO5" s="57">
        <f t="shared" si="0"/>
        <v>2</v>
      </c>
    </row>
    <row r="6" spans="1:41" ht="13">
      <c r="A6" s="37" t="s">
        <v>75</v>
      </c>
      <c r="E6">
        <v>6</v>
      </c>
      <c r="G6" s="1"/>
      <c r="J6" s="8">
        <v>0</v>
      </c>
      <c r="K6" s="8">
        <v>1</v>
      </c>
      <c r="L6" s="8">
        <v>1</v>
      </c>
      <c r="M6" s="8">
        <v>0</v>
      </c>
      <c r="N6" s="8">
        <v>1</v>
      </c>
      <c r="O6" s="8">
        <v>0</v>
      </c>
      <c r="P6" s="8">
        <v>0</v>
      </c>
      <c r="Q6" s="8">
        <v>1</v>
      </c>
      <c r="R6" s="8">
        <v>-1</v>
      </c>
      <c r="S6" s="8">
        <v>0</v>
      </c>
      <c r="T6" s="8">
        <v>0</v>
      </c>
      <c r="U6" s="8">
        <v>0</v>
      </c>
      <c r="W6" s="5"/>
      <c r="AD6" s="57">
        <f t="shared" ref="AD6:AO6" si="1">J15</f>
        <v>0</v>
      </c>
      <c r="AE6" s="57">
        <f t="shared" si="1"/>
        <v>1</v>
      </c>
      <c r="AF6" s="57">
        <f t="shared" si="1"/>
        <v>1</v>
      </c>
      <c r="AG6" s="57">
        <f t="shared" si="1"/>
        <v>2</v>
      </c>
      <c r="AH6" s="57">
        <f t="shared" si="1"/>
        <v>1</v>
      </c>
      <c r="AI6" s="57">
        <f t="shared" si="1"/>
        <v>0</v>
      </c>
      <c r="AJ6" s="57">
        <f t="shared" si="1"/>
        <v>0</v>
      </c>
      <c r="AK6" s="57">
        <f t="shared" si="1"/>
        <v>1</v>
      </c>
      <c r="AL6" s="57">
        <f t="shared" si="1"/>
        <v>0</v>
      </c>
      <c r="AM6" s="57">
        <f t="shared" si="1"/>
        <v>0</v>
      </c>
      <c r="AN6" s="57">
        <f t="shared" si="1"/>
        <v>1</v>
      </c>
      <c r="AO6" s="57">
        <f t="shared" si="1"/>
        <v>1</v>
      </c>
    </row>
    <row r="7" spans="1:41" ht="13">
      <c r="A7" s="37" t="s">
        <v>76</v>
      </c>
      <c r="B7" s="37"/>
      <c r="E7">
        <v>4</v>
      </c>
      <c r="J7" s="8">
        <v>0</v>
      </c>
      <c r="K7" s="8">
        <v>2</v>
      </c>
      <c r="L7" s="8">
        <v>2</v>
      </c>
      <c r="M7" s="8">
        <v>0</v>
      </c>
      <c r="N7" s="8">
        <v>0</v>
      </c>
      <c r="O7" s="8">
        <v>2</v>
      </c>
      <c r="P7" s="8">
        <v>2</v>
      </c>
      <c r="Q7" s="8">
        <v>0</v>
      </c>
      <c r="R7" s="8">
        <v>0</v>
      </c>
      <c r="S7" s="8">
        <v>0</v>
      </c>
      <c r="T7" s="8">
        <v>1</v>
      </c>
      <c r="U7" s="8">
        <v>0</v>
      </c>
      <c r="W7" s="5"/>
      <c r="AD7" s="57">
        <f t="shared" ref="AD7:AO7" si="2">J16</f>
        <v>0</v>
      </c>
      <c r="AE7" s="57">
        <f t="shared" si="2"/>
        <v>1</v>
      </c>
      <c r="AF7" s="57">
        <f t="shared" si="2"/>
        <v>1</v>
      </c>
      <c r="AG7" s="57">
        <f t="shared" si="2"/>
        <v>2</v>
      </c>
      <c r="AH7" s="57">
        <f t="shared" si="2"/>
        <v>1</v>
      </c>
      <c r="AI7" s="57">
        <f t="shared" si="2"/>
        <v>0</v>
      </c>
      <c r="AJ7" s="57">
        <f t="shared" si="2"/>
        <v>0</v>
      </c>
      <c r="AK7" s="57">
        <f t="shared" si="2"/>
        <v>1</v>
      </c>
      <c r="AL7" s="57">
        <f t="shared" si="2"/>
        <v>0</v>
      </c>
      <c r="AM7" s="57">
        <f t="shared" si="2"/>
        <v>0</v>
      </c>
      <c r="AN7" s="57">
        <f t="shared" si="2"/>
        <v>1</v>
      </c>
      <c r="AO7" s="57">
        <f t="shared" si="2"/>
        <v>1</v>
      </c>
    </row>
    <row r="8" spans="1:41" ht="13">
      <c r="A8" s="37" t="s">
        <v>77</v>
      </c>
      <c r="E8">
        <v>6</v>
      </c>
      <c r="J8" s="8">
        <v>0</v>
      </c>
      <c r="K8" s="8">
        <v>0</v>
      </c>
      <c r="L8" s="8">
        <v>0</v>
      </c>
      <c r="M8" s="8">
        <v>2</v>
      </c>
      <c r="N8" s="8">
        <v>0</v>
      </c>
      <c r="O8" s="8">
        <v>0</v>
      </c>
      <c r="P8" s="8">
        <v>0</v>
      </c>
      <c r="Q8" s="8">
        <v>0</v>
      </c>
      <c r="R8" s="8">
        <v>1</v>
      </c>
      <c r="S8" s="8">
        <v>0</v>
      </c>
      <c r="T8" s="8">
        <v>1</v>
      </c>
      <c r="U8" s="8">
        <v>1</v>
      </c>
      <c r="W8" s="5"/>
      <c r="AD8" s="57">
        <f t="shared" ref="AD8:AO8" si="3">J17</f>
        <v>3</v>
      </c>
      <c r="AE8" s="57">
        <f t="shared" si="3"/>
        <v>2</v>
      </c>
      <c r="AF8" s="57">
        <f t="shared" si="3"/>
        <v>2</v>
      </c>
      <c r="AG8" s="57">
        <f t="shared" si="3"/>
        <v>1</v>
      </c>
      <c r="AH8" s="57">
        <f t="shared" si="3"/>
        <v>1</v>
      </c>
      <c r="AI8" s="57">
        <f t="shared" si="3"/>
        <v>3</v>
      </c>
      <c r="AJ8" s="57">
        <f t="shared" si="3"/>
        <v>2</v>
      </c>
      <c r="AK8" s="57">
        <f t="shared" si="3"/>
        <v>3</v>
      </c>
      <c r="AL8" s="57">
        <f t="shared" si="3"/>
        <v>0</v>
      </c>
      <c r="AM8" s="57">
        <f t="shared" si="3"/>
        <v>1</v>
      </c>
      <c r="AN8" s="57">
        <f t="shared" si="3"/>
        <v>2</v>
      </c>
      <c r="AO8" s="57">
        <f t="shared" si="3"/>
        <v>1</v>
      </c>
    </row>
    <row r="9" spans="1:41" ht="13">
      <c r="A9" s="37" t="s">
        <v>78</v>
      </c>
      <c r="E9">
        <v>6</v>
      </c>
      <c r="J9" s="8">
        <v>2</v>
      </c>
      <c r="K9" s="8">
        <v>0</v>
      </c>
      <c r="L9" s="8">
        <v>0</v>
      </c>
      <c r="M9" s="8">
        <v>1</v>
      </c>
      <c r="N9" s="8">
        <v>1</v>
      </c>
      <c r="O9" s="8">
        <v>0</v>
      </c>
      <c r="P9" s="8">
        <v>0</v>
      </c>
      <c r="Q9" s="8">
        <v>2</v>
      </c>
      <c r="R9" s="8">
        <v>0</v>
      </c>
      <c r="S9" s="8">
        <v>1</v>
      </c>
      <c r="T9" s="8">
        <v>0</v>
      </c>
      <c r="U9" s="8">
        <v>0</v>
      </c>
      <c r="V9" s="9"/>
      <c r="W9" s="5"/>
      <c r="Y9" s="10" t="s">
        <v>11</v>
      </c>
      <c r="Z9" s="11"/>
      <c r="AA9" s="12"/>
      <c r="AB9" s="12"/>
      <c r="AD9" s="48" t="s">
        <v>12</v>
      </c>
    </row>
    <row r="10" spans="1:41" ht="13">
      <c r="J10" s="8">
        <v>1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1</v>
      </c>
      <c r="R10" s="8">
        <v>0</v>
      </c>
      <c r="S10" s="8">
        <v>0</v>
      </c>
      <c r="T10" s="8">
        <v>1</v>
      </c>
      <c r="U10" s="8">
        <v>1</v>
      </c>
      <c r="V10" s="9"/>
      <c r="W10" s="5"/>
      <c r="Y10" s="1" t="s">
        <v>13</v>
      </c>
      <c r="AD10" s="3" t="s">
        <v>14</v>
      </c>
      <c r="AE10" s="3" t="s">
        <v>14</v>
      </c>
      <c r="AF10" s="3" t="s">
        <v>14</v>
      </c>
      <c r="AG10" s="3" t="s">
        <v>14</v>
      </c>
      <c r="AH10" s="3" t="s">
        <v>14</v>
      </c>
      <c r="AI10" s="3" t="s">
        <v>14</v>
      </c>
      <c r="AJ10" s="3" t="s">
        <v>14</v>
      </c>
      <c r="AK10" s="3" t="s">
        <v>14</v>
      </c>
    </row>
    <row r="11" spans="1:41" ht="13">
      <c r="F11" s="3"/>
      <c r="G11" s="3"/>
      <c r="H11" s="3"/>
      <c r="I11" s="3"/>
      <c r="J11" s="3" t="s">
        <v>14</v>
      </c>
      <c r="K11" s="3" t="s">
        <v>14</v>
      </c>
      <c r="L11" s="3" t="s">
        <v>14</v>
      </c>
      <c r="M11" s="3" t="s">
        <v>14</v>
      </c>
      <c r="N11" s="3" t="s">
        <v>14</v>
      </c>
      <c r="O11" s="3" t="s">
        <v>14</v>
      </c>
      <c r="P11" s="3"/>
      <c r="Q11" s="3"/>
      <c r="R11" s="3"/>
      <c r="S11" s="3"/>
      <c r="T11" s="3" t="s">
        <v>14</v>
      </c>
      <c r="U11" s="3" t="s">
        <v>14</v>
      </c>
      <c r="V11" s="9"/>
      <c r="W11" s="5"/>
      <c r="X11" s="4" t="s">
        <v>15</v>
      </c>
      <c r="Y11" s="44" cm="1">
        <f t="array" ref="Y11:AB22">TRANSPOSE(J22:U25)</f>
        <v>0</v>
      </c>
      <c r="Z11" s="44">
        <v>0</v>
      </c>
      <c r="AA11" s="44">
        <v>0</v>
      </c>
      <c r="AB11" s="44">
        <v>1</v>
      </c>
      <c r="AC11" s="3" t="s">
        <v>16</v>
      </c>
      <c r="AD11" s="44" cm="1">
        <f t="array" ref="AD11">MMULT($Y11:$AB11,AD$5:AD$8)</f>
        <v>3</v>
      </c>
      <c r="AE11" s="44" cm="1">
        <f t="array" ref="AE11">MMULT($Y11:$AB11,AE$5:AE$8)</f>
        <v>2</v>
      </c>
      <c r="AF11" s="44" cm="1">
        <f t="array" ref="AF11">MMULT($Y11:$AB11,AF$5:AF$8)</f>
        <v>2</v>
      </c>
      <c r="AG11" s="44" cm="1">
        <f t="array" ref="AG11">MMULT($Y11:$AB11,AG$5:AG$8)</f>
        <v>1</v>
      </c>
      <c r="AH11" s="44" cm="1">
        <f t="array" ref="AH11">MMULT($Y11:$AB11,AH$5:AH$8)</f>
        <v>1</v>
      </c>
      <c r="AI11" s="44" cm="1">
        <f t="array" ref="AI11">MMULT($Y11:$AB11,AI$5:AI$8)</f>
        <v>3</v>
      </c>
      <c r="AJ11" s="44" cm="1">
        <f t="array" ref="AJ11">MMULT($Y11:$AB11,AJ$5:AJ$8)</f>
        <v>2</v>
      </c>
      <c r="AK11" s="44" cm="1">
        <f t="array" ref="AK11">MMULT($Y11:$AB11,AK$5:AK$8)</f>
        <v>3</v>
      </c>
      <c r="AL11" s="44" cm="1">
        <f t="array" ref="AL11">MMULT($Y11:$AB11,AL$5:AL$8)</f>
        <v>0</v>
      </c>
      <c r="AM11" s="44" cm="1">
        <f t="array" ref="AM11">MMULT($Y11:$AB11,AM$5:AM$8)</f>
        <v>1</v>
      </c>
      <c r="AN11" s="44" cm="1">
        <f t="array" ref="AN11">MMULT($Y11:$AB11,AN$5:AN$8)</f>
        <v>2</v>
      </c>
      <c r="AO11" s="44" cm="1">
        <f t="array" ref="AO11">MMULT($Y11:$AB11,AO$5:AO$8)</f>
        <v>1</v>
      </c>
    </row>
    <row r="12" spans="1:41" ht="13">
      <c r="J12" s="13" t="s">
        <v>18</v>
      </c>
      <c r="W12" s="5"/>
      <c r="X12" s="4" t="s">
        <v>17</v>
      </c>
      <c r="Y12" s="44">
        <v>2</v>
      </c>
      <c r="Z12" s="44">
        <v>1</v>
      </c>
      <c r="AA12" s="44">
        <v>1</v>
      </c>
      <c r="AB12" s="44">
        <v>0</v>
      </c>
      <c r="AC12" s="3" t="s">
        <v>16</v>
      </c>
      <c r="AD12" s="44" cm="1">
        <f t="array" ref="AD12">MMULT($Y12:$AB12,AD$5:AD$8)</f>
        <v>4</v>
      </c>
      <c r="AE12" s="44" cm="1">
        <f t="array" ref="AE12">MMULT($Y12:$AB12,AE$5:AE$8)</f>
        <v>4</v>
      </c>
      <c r="AF12" s="44" cm="1">
        <f t="array" ref="AF12">MMULT($Y12:$AB12,AF$5:AF$8)</f>
        <v>4</v>
      </c>
      <c r="AG12" s="44" cm="1">
        <f t="array" ref="AG12">MMULT($Y12:$AB12,AG$5:AG$8)</f>
        <v>4</v>
      </c>
      <c r="AH12" s="44" cm="1">
        <f t="array" ref="AH12">MMULT($Y12:$AB12,AH$5:AH$8)</f>
        <v>4</v>
      </c>
      <c r="AI12" s="44" cm="1">
        <f t="array" ref="AI12">MMULT($Y12:$AB12,AI$5:AI$8)</f>
        <v>0</v>
      </c>
      <c r="AJ12" s="44" cm="1">
        <f t="array" ref="AJ12">MMULT($Y12:$AB12,AJ$5:AJ$8)</f>
        <v>0</v>
      </c>
      <c r="AK12" s="44" cm="1">
        <f t="array" ref="AK12">MMULT($Y12:$AB12,AK$5:AK$8)</f>
        <v>4</v>
      </c>
      <c r="AL12" s="44" cm="1">
        <f t="array" ref="AL12">MMULT($Y12:$AB12,AL$5:AL$8)</f>
        <v>-2</v>
      </c>
      <c r="AM12" s="44" cm="1">
        <f t="array" ref="AM12">MMULT($Y12:$AB12,AM$5:AM$8)</f>
        <v>2</v>
      </c>
      <c r="AN12" s="44" cm="1">
        <f t="array" ref="AN12">MMULT($Y12:$AB12,AN$5:AN$8)</f>
        <v>2</v>
      </c>
      <c r="AO12" s="44" cm="1">
        <f t="array" ref="AO12">MMULT($Y12:$AB12,AO$5:AO$8)</f>
        <v>6</v>
      </c>
    </row>
    <row r="13" spans="1:41" ht="14" thickBot="1">
      <c r="C13" s="1" t="s">
        <v>20</v>
      </c>
      <c r="J13" s="4" t="s">
        <v>7</v>
      </c>
      <c r="K13" s="4" t="s">
        <v>8</v>
      </c>
      <c r="L13" s="4" t="s">
        <v>9</v>
      </c>
      <c r="M13" s="4" t="s">
        <v>10</v>
      </c>
      <c r="N13" s="4" t="s">
        <v>85</v>
      </c>
      <c r="O13" s="4" t="s">
        <v>86</v>
      </c>
      <c r="P13" s="4" t="s">
        <v>87</v>
      </c>
      <c r="Q13" s="4" t="s">
        <v>88</v>
      </c>
      <c r="R13" s="4" t="s">
        <v>104</v>
      </c>
      <c r="S13" s="4" t="s">
        <v>105</v>
      </c>
      <c r="T13" s="4" t="s">
        <v>106</v>
      </c>
      <c r="U13" s="4" t="s">
        <v>107</v>
      </c>
      <c r="V13" s="6"/>
      <c r="W13" s="14"/>
      <c r="X13" s="4" t="s">
        <v>19</v>
      </c>
      <c r="Y13" s="44">
        <v>2</v>
      </c>
      <c r="Z13" s="44">
        <v>1</v>
      </c>
      <c r="AA13" s="44">
        <v>1</v>
      </c>
      <c r="AB13" s="44">
        <v>0</v>
      </c>
      <c r="AC13" s="3" t="s">
        <v>16</v>
      </c>
      <c r="AD13" s="44" cm="1">
        <f t="array" ref="AD13">MMULT($Y13:$AB13,AD$5:AD$8)</f>
        <v>4</v>
      </c>
      <c r="AE13" s="44" cm="1">
        <f t="array" ref="AE13">MMULT($Y13:$AB13,AE$5:AE$8)</f>
        <v>4</v>
      </c>
      <c r="AF13" s="44" cm="1">
        <f t="array" ref="AF13">MMULT($Y13:$AB13,AF$5:AF$8)</f>
        <v>4</v>
      </c>
      <c r="AG13" s="44" cm="1">
        <f t="array" ref="AG13">MMULT($Y13:$AB13,AG$5:AG$8)</f>
        <v>4</v>
      </c>
      <c r="AH13" s="44" cm="1">
        <f t="array" ref="AH13">MMULT($Y13:$AB13,AH$5:AH$8)</f>
        <v>4</v>
      </c>
      <c r="AI13" s="44" cm="1">
        <f t="array" ref="AI13">MMULT($Y13:$AB13,AI$5:AI$8)</f>
        <v>0</v>
      </c>
      <c r="AJ13" s="44" cm="1">
        <f t="array" ref="AJ13">MMULT($Y13:$AB13,AJ$5:AJ$8)</f>
        <v>0</v>
      </c>
      <c r="AK13" s="44" cm="1">
        <f t="array" ref="AK13">MMULT($Y13:$AB13,AK$5:AK$8)</f>
        <v>4</v>
      </c>
      <c r="AL13" s="44" cm="1">
        <f t="array" ref="AL13">MMULT($Y13:$AB13,AL$5:AL$8)</f>
        <v>-2</v>
      </c>
      <c r="AM13" s="44" cm="1">
        <f t="array" ref="AM13">MMULT($Y13:$AB13,AM$5:AM$8)</f>
        <v>2</v>
      </c>
      <c r="AN13" s="44" cm="1">
        <f t="array" ref="AN13">MMULT($Y13:$AB13,AN$5:AN$8)</f>
        <v>2</v>
      </c>
      <c r="AO13" s="44" cm="1">
        <f t="array" ref="AO13">MMULT($Y13:$AB13,AO$5:AO$8)</f>
        <v>6</v>
      </c>
    </row>
    <row r="14" spans="1:41" ht="13">
      <c r="C14" s="15">
        <v>1</v>
      </c>
      <c r="D14" s="16">
        <v>1</v>
      </c>
      <c r="E14" s="16">
        <v>0</v>
      </c>
      <c r="F14" s="16">
        <v>0</v>
      </c>
      <c r="G14" s="16">
        <v>0</v>
      </c>
      <c r="H14" s="17">
        <v>0</v>
      </c>
      <c r="I14" s="3" t="s">
        <v>16</v>
      </c>
      <c r="J14" s="44" cm="1">
        <f t="array" ref="J14">MMULT($C14:$H14,J$5:J$10)</f>
        <v>2</v>
      </c>
      <c r="K14" s="44" cm="1">
        <f t="array" ref="K14">MMULT($C14:$H14,K$5:K$10)</f>
        <v>1</v>
      </c>
      <c r="L14" s="44" cm="1">
        <f t="array" ref="L14">MMULT($C14:$H14,L$5:L$10)</f>
        <v>1</v>
      </c>
      <c r="M14" s="44" cm="1">
        <f t="array" ref="M14">MMULT($C14:$H14,M$5:M$10)</f>
        <v>0</v>
      </c>
      <c r="N14" s="44" cm="1">
        <f t="array" ref="N14">MMULT($C14:$H14,N$5:N$10)</f>
        <v>1</v>
      </c>
      <c r="O14" s="44" cm="1">
        <f t="array" ref="O14">MMULT($C14:$H14,O$5:O$10)</f>
        <v>0</v>
      </c>
      <c r="P14" s="44" cm="1">
        <f t="array" ref="P14">MMULT($C14:$H14,P$5:P$10)</f>
        <v>0</v>
      </c>
      <c r="Q14" s="44" cm="1">
        <f t="array" ref="Q14">MMULT($C14:$H14,Q$5:Q$10)</f>
        <v>1</v>
      </c>
      <c r="R14" s="44" cm="1">
        <f t="array" ref="R14">MMULT($C14:$H14,R$5:R$10)</f>
        <v>-1</v>
      </c>
      <c r="S14" s="44" cm="1">
        <f t="array" ref="S14">MMULT($C14:$H14,S$5:S$10)</f>
        <v>1</v>
      </c>
      <c r="T14" s="44" cm="1">
        <f t="array" ref="T14">MMULT($C14:$H14,T$5:T$10)</f>
        <v>0</v>
      </c>
      <c r="U14" s="44" cm="1">
        <f t="array" ref="U14">MMULT($C14:$H14,U$5:U$10)</f>
        <v>2</v>
      </c>
      <c r="X14" s="4" t="s">
        <v>21</v>
      </c>
      <c r="Y14" s="44">
        <v>0</v>
      </c>
      <c r="Z14" s="44">
        <v>0</v>
      </c>
      <c r="AA14" s="44">
        <v>0</v>
      </c>
      <c r="AB14" s="44">
        <v>0</v>
      </c>
      <c r="AC14" s="3" t="s">
        <v>16</v>
      </c>
      <c r="AD14" s="44" cm="1">
        <f t="array" ref="AD14">MMULT($Y14:$AB14,AD$5:AD$8)</f>
        <v>0</v>
      </c>
      <c r="AE14" s="44" cm="1">
        <f t="array" ref="AE14">MMULT($Y14:$AB14,AE$5:AE$8)</f>
        <v>0</v>
      </c>
      <c r="AF14" s="44" cm="1">
        <f t="array" ref="AF14">MMULT($Y14:$AB14,AF$5:AF$8)</f>
        <v>0</v>
      </c>
      <c r="AG14" s="44" cm="1">
        <f t="array" ref="AG14">MMULT($Y14:$AB14,AG$5:AG$8)</f>
        <v>0</v>
      </c>
      <c r="AH14" s="44" cm="1">
        <f t="array" ref="AH14">MMULT($Y14:$AB14,AH$5:AH$8)</f>
        <v>0</v>
      </c>
      <c r="AI14" s="44" cm="1">
        <f t="array" ref="AI14">MMULT($Y14:$AB14,AI$5:AI$8)</f>
        <v>0</v>
      </c>
      <c r="AJ14" s="44" cm="1">
        <f t="array" ref="AJ14">MMULT($Y14:$AB14,AJ$5:AJ$8)</f>
        <v>0</v>
      </c>
      <c r="AK14" s="44" cm="1">
        <f t="array" ref="AK14">MMULT($Y14:$AB14,AK$5:AK$8)</f>
        <v>0</v>
      </c>
      <c r="AL14" s="44" cm="1">
        <f t="array" ref="AL14">MMULT($Y14:$AB14,AL$5:AL$8)</f>
        <v>0</v>
      </c>
      <c r="AM14" s="44" cm="1">
        <f t="array" ref="AM14">MMULT($Y14:$AB14,AM$5:AM$8)</f>
        <v>0</v>
      </c>
      <c r="AN14" s="44" cm="1">
        <f t="array" ref="AN14">MMULT($Y14:$AB14,AN$5:AN$8)</f>
        <v>0</v>
      </c>
      <c r="AO14" s="44" cm="1">
        <f t="array" ref="AO14">MMULT($Y14:$AB14,AO$5:AO$8)</f>
        <v>0</v>
      </c>
    </row>
    <row r="15" spans="1:41" ht="13">
      <c r="C15" s="18">
        <v>0</v>
      </c>
      <c r="D15" s="19">
        <v>1</v>
      </c>
      <c r="E15" s="19">
        <v>0</v>
      </c>
      <c r="F15" s="19">
        <v>1</v>
      </c>
      <c r="G15" s="19">
        <v>0</v>
      </c>
      <c r="H15" s="20">
        <v>0</v>
      </c>
      <c r="I15" s="3" t="s">
        <v>16</v>
      </c>
      <c r="J15" s="44" cm="1">
        <f t="array" ref="J15">MMULT($C15:$H15,J$5:J$10)</f>
        <v>0</v>
      </c>
      <c r="K15" s="44" cm="1">
        <f t="array" ref="K15">MMULT($C15:$H15,K$5:K$10)</f>
        <v>1</v>
      </c>
      <c r="L15" s="44" cm="1">
        <f t="array" ref="L15">MMULT($C15:$H15,L$5:L$10)</f>
        <v>1</v>
      </c>
      <c r="M15" s="44" cm="1">
        <f t="array" ref="M15">MMULT($C15:$H15,M$5:M$10)</f>
        <v>2</v>
      </c>
      <c r="N15" s="44" cm="1">
        <f t="array" ref="N15">MMULT($C15:$H15,N$5:N$10)</f>
        <v>1</v>
      </c>
      <c r="O15" s="44" cm="1">
        <f t="array" ref="O15">MMULT($C15:$H15,O$5:O$10)</f>
        <v>0</v>
      </c>
      <c r="P15" s="44" cm="1">
        <f t="array" ref="P15">MMULT($C15:$H15,P$5:P$10)</f>
        <v>0</v>
      </c>
      <c r="Q15" s="44" cm="1">
        <f t="array" ref="Q15">MMULT($C15:$H15,Q$5:Q$10)</f>
        <v>1</v>
      </c>
      <c r="R15" s="44" cm="1">
        <f t="array" ref="R15">MMULT($C15:$H15,R$5:R$10)</f>
        <v>0</v>
      </c>
      <c r="S15" s="44" cm="1">
        <f t="array" ref="S15">MMULT($C15:$H15,S$5:S$10)</f>
        <v>0</v>
      </c>
      <c r="T15" s="44" cm="1">
        <f t="array" ref="T15">MMULT($C15:$H15,T$5:T$10)</f>
        <v>1</v>
      </c>
      <c r="U15" s="44" cm="1">
        <f t="array" ref="U15">MMULT($C15:$H15,U$5:U$10)</f>
        <v>1</v>
      </c>
      <c r="V15" s="21"/>
      <c r="W15" s="21"/>
      <c r="X15" s="4" t="s">
        <v>89</v>
      </c>
      <c r="Y15" s="44">
        <v>0</v>
      </c>
      <c r="Z15" s="44">
        <v>1</v>
      </c>
      <c r="AA15" s="44">
        <v>1</v>
      </c>
      <c r="AB15" s="44">
        <v>0</v>
      </c>
      <c r="AC15" s="3" t="s">
        <v>16</v>
      </c>
      <c r="AD15" s="44" cm="1">
        <f t="array" ref="AD15">MMULT($Y15:$AB15,AD$5:AD$8)</f>
        <v>0</v>
      </c>
      <c r="AE15" s="44" cm="1">
        <f t="array" ref="AE15">MMULT($Y15:$AB15,AE$5:AE$8)</f>
        <v>2</v>
      </c>
      <c r="AF15" s="44" cm="1">
        <f t="array" ref="AF15">MMULT($Y15:$AB15,AF$5:AF$8)</f>
        <v>2</v>
      </c>
      <c r="AG15" s="44" cm="1">
        <f t="array" ref="AG15">MMULT($Y15:$AB15,AG$5:AG$8)</f>
        <v>4</v>
      </c>
      <c r="AH15" s="44" cm="1">
        <f t="array" ref="AH15">MMULT($Y15:$AB15,AH$5:AH$8)</f>
        <v>2</v>
      </c>
      <c r="AI15" s="44" cm="1">
        <f t="array" ref="AI15">MMULT($Y15:$AB15,AI$5:AI$8)</f>
        <v>0</v>
      </c>
      <c r="AJ15" s="44" cm="1">
        <f t="array" ref="AJ15">MMULT($Y15:$AB15,AJ$5:AJ$8)</f>
        <v>0</v>
      </c>
      <c r="AK15" s="44" cm="1">
        <f t="array" ref="AK15">MMULT($Y15:$AB15,AK$5:AK$8)</f>
        <v>2</v>
      </c>
      <c r="AL15" s="44" cm="1">
        <f t="array" ref="AL15">MMULT($Y15:$AB15,AL$5:AL$8)</f>
        <v>0</v>
      </c>
      <c r="AM15" s="44" cm="1">
        <f t="array" ref="AM15">MMULT($Y15:$AB15,AM$5:AM$8)</f>
        <v>0</v>
      </c>
      <c r="AN15" s="44" cm="1">
        <f t="array" ref="AN15">MMULT($Y15:$AB15,AN$5:AN$8)</f>
        <v>2</v>
      </c>
      <c r="AO15" s="44" cm="1">
        <f t="array" ref="AO15">MMULT($Y15:$AB15,AO$5:AO$8)</f>
        <v>2</v>
      </c>
    </row>
    <row r="16" spans="1:41" ht="13">
      <c r="C16" s="18">
        <v>0</v>
      </c>
      <c r="D16" s="19">
        <v>1</v>
      </c>
      <c r="E16" s="19">
        <v>0</v>
      </c>
      <c r="F16" s="19">
        <v>1</v>
      </c>
      <c r="G16" s="19">
        <v>0</v>
      </c>
      <c r="H16" s="20">
        <v>0</v>
      </c>
      <c r="I16" s="3" t="s">
        <v>16</v>
      </c>
      <c r="J16" s="44" cm="1">
        <f t="array" ref="J16">MMULT($C16:$H16,J$5:J$10)</f>
        <v>0</v>
      </c>
      <c r="K16" s="44" cm="1">
        <f t="array" ref="K16">MMULT($C16:$H16,K$5:K$10)</f>
        <v>1</v>
      </c>
      <c r="L16" s="44" cm="1">
        <f t="array" ref="L16">MMULT($C16:$H16,L$5:L$10)</f>
        <v>1</v>
      </c>
      <c r="M16" s="44" cm="1">
        <f t="array" ref="M16">MMULT($C16:$H16,M$5:M$10)</f>
        <v>2</v>
      </c>
      <c r="N16" s="44" cm="1">
        <f t="array" ref="N16">MMULT($C16:$H16,N$5:N$10)</f>
        <v>1</v>
      </c>
      <c r="O16" s="44" cm="1">
        <f t="array" ref="O16">MMULT($C16:$H16,O$5:O$10)</f>
        <v>0</v>
      </c>
      <c r="P16" s="44" cm="1">
        <f t="array" ref="P16">MMULT($C16:$H16,P$5:P$10)</f>
        <v>0</v>
      </c>
      <c r="Q16" s="44" cm="1">
        <f t="array" ref="Q16">MMULT($C16:$H16,Q$5:Q$10)</f>
        <v>1</v>
      </c>
      <c r="R16" s="44" cm="1">
        <f t="array" ref="R16">MMULT($C16:$H16,R$5:R$10)</f>
        <v>0</v>
      </c>
      <c r="S16" s="44" cm="1">
        <f t="array" ref="S16">MMULT($C16:$H16,S$5:S$10)</f>
        <v>0</v>
      </c>
      <c r="T16" s="44" cm="1">
        <f t="array" ref="T16">MMULT($C16:$H16,T$5:T$10)</f>
        <v>1</v>
      </c>
      <c r="U16" s="44" cm="1">
        <f t="array" ref="U16">MMULT($C16:$H16,U$5:U$10)</f>
        <v>1</v>
      </c>
      <c r="V16" s="21"/>
      <c r="W16" s="21"/>
      <c r="X16" s="4" t="s">
        <v>90</v>
      </c>
      <c r="Y16" s="44">
        <v>2</v>
      </c>
      <c r="Z16" s="44">
        <v>0</v>
      </c>
      <c r="AA16" s="44">
        <v>0</v>
      </c>
      <c r="AB16" s="44">
        <v>-1</v>
      </c>
      <c r="AC16" s="3" t="s">
        <v>16</v>
      </c>
      <c r="AD16" s="44" cm="1">
        <f t="array" ref="AD16">MMULT($Y16:$AB16,AD$5:AD$8)</f>
        <v>1</v>
      </c>
      <c r="AE16" s="44" cm="1">
        <f t="array" ref="AE16">MMULT($Y16:$AB16,AE$5:AE$8)</f>
        <v>0</v>
      </c>
      <c r="AF16" s="44" cm="1">
        <f t="array" ref="AF16">MMULT($Y16:$AB16,AF$5:AF$8)</f>
        <v>0</v>
      </c>
      <c r="AG16" s="44" cm="1">
        <f t="array" ref="AG16">MMULT($Y16:$AB16,AG$5:AG$8)</f>
        <v>-1</v>
      </c>
      <c r="AH16" s="44" cm="1">
        <f t="array" ref="AH16">MMULT($Y16:$AB16,AH$5:AH$8)</f>
        <v>1</v>
      </c>
      <c r="AI16" s="44" cm="1">
        <f t="array" ref="AI16">MMULT($Y16:$AB16,AI$5:AI$8)</f>
        <v>-3</v>
      </c>
      <c r="AJ16" s="44" cm="1">
        <f t="array" ref="AJ16">MMULT($Y16:$AB16,AJ$5:AJ$8)</f>
        <v>-2</v>
      </c>
      <c r="AK16" s="44" cm="1">
        <f t="array" ref="AK16">MMULT($Y16:$AB16,AK$5:AK$8)</f>
        <v>-1</v>
      </c>
      <c r="AL16" s="44" cm="1">
        <f t="array" ref="AL16">MMULT($Y16:$AB16,AL$5:AL$8)</f>
        <v>-2</v>
      </c>
      <c r="AM16" s="44" cm="1">
        <f t="array" ref="AM16">MMULT($Y16:$AB16,AM$5:AM$8)</f>
        <v>1</v>
      </c>
      <c r="AN16" s="44" cm="1">
        <f t="array" ref="AN16">MMULT($Y16:$AB16,AN$5:AN$8)</f>
        <v>-2</v>
      </c>
      <c r="AO16" s="44" cm="1">
        <f t="array" ref="AO16">MMULT($Y16:$AB16,AO$5:AO$8)</f>
        <v>3</v>
      </c>
    </row>
    <row r="17" spans="1:41" ht="14" thickBot="1">
      <c r="A17" s="4"/>
      <c r="C17" s="22">
        <v>0</v>
      </c>
      <c r="D17" s="23">
        <v>0</v>
      </c>
      <c r="E17" s="23">
        <v>1</v>
      </c>
      <c r="F17" s="23">
        <v>0</v>
      </c>
      <c r="G17" s="23">
        <v>1</v>
      </c>
      <c r="H17" s="24">
        <v>1</v>
      </c>
      <c r="I17" s="3" t="s">
        <v>16</v>
      </c>
      <c r="J17" s="44" cm="1">
        <f t="array" ref="J17">MMULT($C17:$H17,J$5:J$10)</f>
        <v>3</v>
      </c>
      <c r="K17" s="44" cm="1">
        <f t="array" ref="K17">MMULT($C17:$H17,K$5:K$10)</f>
        <v>2</v>
      </c>
      <c r="L17" s="44" cm="1">
        <f t="array" ref="L17">MMULT($C17:$H17,L$5:L$10)</f>
        <v>2</v>
      </c>
      <c r="M17" s="44" cm="1">
        <f t="array" ref="M17">MMULT($C17:$H17,M$5:M$10)</f>
        <v>1</v>
      </c>
      <c r="N17" s="44" cm="1">
        <f t="array" ref="N17">MMULT($C17:$H17,N$5:N$10)</f>
        <v>1</v>
      </c>
      <c r="O17" s="44" cm="1">
        <f t="array" ref="O17">MMULT($C17:$H17,O$5:O$10)</f>
        <v>3</v>
      </c>
      <c r="P17" s="44" cm="1">
        <f t="array" ref="P17">MMULT($C17:$H17,P$5:P$10)</f>
        <v>2</v>
      </c>
      <c r="Q17" s="44" cm="1">
        <f t="array" ref="Q17">MMULT($C17:$H17,Q$5:Q$10)</f>
        <v>3</v>
      </c>
      <c r="R17" s="44" cm="1">
        <f t="array" ref="R17">MMULT($C17:$H17,R$5:R$10)</f>
        <v>0</v>
      </c>
      <c r="S17" s="44" cm="1">
        <f t="array" ref="S17">MMULT($C17:$H17,S$5:S$10)</f>
        <v>1</v>
      </c>
      <c r="T17" s="44" cm="1">
        <f t="array" ref="T17">MMULT($C17:$H17,T$5:T$10)</f>
        <v>2</v>
      </c>
      <c r="U17" s="44" cm="1">
        <f t="array" ref="U17">MMULT($C17:$H17,U$5:U$10)</f>
        <v>1</v>
      </c>
      <c r="V17" s="21"/>
      <c r="X17" s="4" t="s">
        <v>91</v>
      </c>
      <c r="Y17" s="55">
        <v>2</v>
      </c>
      <c r="Z17" s="55">
        <v>0</v>
      </c>
      <c r="AA17" s="55">
        <v>0</v>
      </c>
      <c r="AB17" s="55">
        <v>0</v>
      </c>
      <c r="AC17" s="3" t="s">
        <v>16</v>
      </c>
      <c r="AD17" s="44" cm="1">
        <f t="array" ref="AD17">MMULT($Y17:$AB17,AD$5:AD$8)</f>
        <v>4</v>
      </c>
      <c r="AE17" s="44" cm="1">
        <f t="array" ref="AE17">MMULT($Y17:$AB17,AE$5:AE$8)</f>
        <v>2</v>
      </c>
      <c r="AF17" s="44" cm="1">
        <f t="array" ref="AF17">MMULT($Y17:$AB17,AF$5:AF$8)</f>
        <v>2</v>
      </c>
      <c r="AG17" s="44" cm="1">
        <f t="array" ref="AG17">MMULT($Y17:$AB17,AG$5:AG$8)</f>
        <v>0</v>
      </c>
      <c r="AH17" s="44" cm="1">
        <f t="array" ref="AH17">MMULT($Y17:$AB17,AH$5:AH$8)</f>
        <v>2</v>
      </c>
      <c r="AI17" s="44" cm="1">
        <f t="array" ref="AI17">MMULT($Y17:$AB17,AI$5:AI$8)</f>
        <v>0</v>
      </c>
      <c r="AJ17" s="44" cm="1">
        <f t="array" ref="AJ17">MMULT($Y17:$AB17,AJ$5:AJ$8)</f>
        <v>0</v>
      </c>
      <c r="AK17" s="44" cm="1">
        <f t="array" ref="AK17">MMULT($Y17:$AB17,AK$5:AK$8)</f>
        <v>2</v>
      </c>
      <c r="AL17" s="44" cm="1">
        <f t="array" ref="AL17">MMULT($Y17:$AB17,AL$5:AL$8)</f>
        <v>-2</v>
      </c>
      <c r="AM17" s="44" cm="1">
        <f t="array" ref="AM17">MMULT($Y17:$AB17,AM$5:AM$8)</f>
        <v>2</v>
      </c>
      <c r="AN17" s="44" cm="1">
        <f t="array" ref="AN17">MMULT($Y17:$AB17,AN$5:AN$8)</f>
        <v>0</v>
      </c>
      <c r="AO17" s="44" cm="1">
        <f t="array" ref="AO17">MMULT($Y17:$AB17,AO$5:AO$8)</f>
        <v>4</v>
      </c>
    </row>
    <row r="18" spans="1:41" ht="13">
      <c r="V18" s="6"/>
      <c r="W18" s="6"/>
      <c r="X18" s="4" t="s">
        <v>92</v>
      </c>
      <c r="Y18" s="54">
        <v>0</v>
      </c>
      <c r="Z18" s="54">
        <v>1</v>
      </c>
      <c r="AA18" s="54">
        <v>1</v>
      </c>
      <c r="AB18" s="54">
        <v>-1</v>
      </c>
      <c r="AC18" s="3" t="s">
        <v>16</v>
      </c>
      <c r="AD18" s="44" cm="1">
        <f t="array" ref="AD18">MMULT($Y18:$AB18,AD$5:AD$8)</f>
        <v>-3</v>
      </c>
      <c r="AE18" s="44" cm="1">
        <f t="array" ref="AE18">MMULT($Y18:$AB18,AE$5:AE$8)</f>
        <v>0</v>
      </c>
      <c r="AF18" s="44" cm="1">
        <f t="array" ref="AF18">MMULT($Y18:$AB18,AF$5:AF$8)</f>
        <v>0</v>
      </c>
      <c r="AG18" s="44" cm="1">
        <f t="array" ref="AG18">MMULT($Y18:$AB18,AG$5:AG$8)</f>
        <v>3</v>
      </c>
      <c r="AH18" s="44" cm="1">
        <f t="array" ref="AH18">MMULT($Y18:$AB18,AH$5:AH$8)</f>
        <v>1</v>
      </c>
      <c r="AI18" s="44" cm="1">
        <f t="array" ref="AI18">MMULT($Y18:$AB18,AI$5:AI$8)</f>
        <v>-3</v>
      </c>
      <c r="AJ18" s="44" cm="1">
        <f t="array" ref="AJ18">MMULT($Y18:$AB18,AJ$5:AJ$8)</f>
        <v>-2</v>
      </c>
      <c r="AK18" s="44" cm="1">
        <f t="array" ref="AK18">MMULT($Y18:$AB18,AK$5:AK$8)</f>
        <v>-1</v>
      </c>
      <c r="AL18" s="44" cm="1">
        <f t="array" ref="AL18">MMULT($Y18:$AB18,AL$5:AL$8)</f>
        <v>0</v>
      </c>
      <c r="AM18" s="44" cm="1">
        <f t="array" ref="AM18">MMULT($Y18:$AB18,AM$5:AM$8)</f>
        <v>-1</v>
      </c>
      <c r="AN18" s="44" cm="1">
        <f t="array" ref="AN18">MMULT($Y18:$AB18,AN$5:AN$8)</f>
        <v>0</v>
      </c>
      <c r="AO18" s="44" cm="1">
        <f t="array" ref="AO18">MMULT($Y18:$AB18,AO$5:AO$8)</f>
        <v>1</v>
      </c>
    </row>
    <row r="19" spans="1:41" ht="13">
      <c r="X19" s="4" t="s">
        <v>116</v>
      </c>
      <c r="Y19" s="56">
        <v>0</v>
      </c>
      <c r="Z19" s="56">
        <v>-1</v>
      </c>
      <c r="AA19" s="56">
        <v>-1</v>
      </c>
      <c r="AB19" s="56">
        <v>0</v>
      </c>
      <c r="AD19" s="44" cm="1">
        <f t="array" ref="AD19">MMULT($Y19:$AB19,AD$5:AD$8)</f>
        <v>0</v>
      </c>
      <c r="AE19" s="44" cm="1">
        <f t="array" ref="AE19">MMULT($Y19:$AB19,AE$5:AE$8)</f>
        <v>-2</v>
      </c>
      <c r="AF19" s="44" cm="1">
        <f t="array" ref="AF19">MMULT($Y19:$AB19,AF$5:AF$8)</f>
        <v>-2</v>
      </c>
      <c r="AG19" s="44" cm="1">
        <f t="array" ref="AG19">MMULT($Y19:$AB19,AG$5:AG$8)</f>
        <v>-4</v>
      </c>
      <c r="AH19" s="44" cm="1">
        <f t="array" ref="AH19">MMULT($Y19:$AB19,AH$5:AH$8)</f>
        <v>-2</v>
      </c>
      <c r="AI19" s="44" cm="1">
        <f t="array" ref="AI19">MMULT($Y19:$AB19,AI$5:AI$8)</f>
        <v>0</v>
      </c>
      <c r="AJ19" s="44" cm="1">
        <f t="array" ref="AJ19">MMULT($Y19:$AB19,AJ$5:AJ$8)</f>
        <v>0</v>
      </c>
      <c r="AK19" s="44" cm="1">
        <f t="array" ref="AK19">MMULT($Y19:$AB19,AK$5:AK$8)</f>
        <v>-2</v>
      </c>
      <c r="AL19" s="44" cm="1">
        <f t="array" ref="AL19">MMULT($Y19:$AB19,AL$5:AL$8)</f>
        <v>0</v>
      </c>
      <c r="AM19" s="44" cm="1">
        <f t="array" ref="AM19">MMULT($Y19:$AB19,AM$5:AM$8)</f>
        <v>0</v>
      </c>
      <c r="AN19" s="44" cm="1">
        <f t="array" ref="AN19">MMULT($Y19:$AB19,AN$5:AN$8)</f>
        <v>-2</v>
      </c>
      <c r="AO19" s="44" cm="1">
        <f t="array" ref="AO19">MMULT($Y19:$AB19,AO$5:AO$8)</f>
        <v>-2</v>
      </c>
    </row>
    <row r="20" spans="1:41" ht="13">
      <c r="J20" s="13" t="s">
        <v>24</v>
      </c>
      <c r="X20" s="4" t="s">
        <v>117</v>
      </c>
      <c r="Y20" s="56">
        <v>0</v>
      </c>
      <c r="Z20" s="56">
        <v>0</v>
      </c>
      <c r="AA20" s="56">
        <v>0</v>
      </c>
      <c r="AB20" s="56">
        <v>1</v>
      </c>
      <c r="AD20" s="44" cm="1">
        <f t="array" ref="AD20">MMULT($Y20:$AB20,AD$5:AD$8)</f>
        <v>3</v>
      </c>
      <c r="AE20" s="44" cm="1">
        <f t="array" ref="AE20">MMULT($Y20:$AB20,AE$5:AE$8)</f>
        <v>2</v>
      </c>
      <c r="AF20" s="44" cm="1">
        <f t="array" ref="AF20">MMULT($Y20:$AB20,AF$5:AF$8)</f>
        <v>2</v>
      </c>
      <c r="AG20" s="44" cm="1">
        <f t="array" ref="AG20">MMULT($Y20:$AB20,AG$5:AG$8)</f>
        <v>1</v>
      </c>
      <c r="AH20" s="44" cm="1">
        <f t="array" ref="AH20">MMULT($Y20:$AB20,AH$5:AH$8)</f>
        <v>1</v>
      </c>
      <c r="AI20" s="44" cm="1">
        <f t="array" ref="AI20">MMULT($Y20:$AB20,AI$5:AI$8)</f>
        <v>3</v>
      </c>
      <c r="AJ20" s="44" cm="1">
        <f t="array" ref="AJ20">MMULT($Y20:$AB20,AJ$5:AJ$8)</f>
        <v>2</v>
      </c>
      <c r="AK20" s="44" cm="1">
        <f t="array" ref="AK20">MMULT($Y20:$AB20,AK$5:AK$8)</f>
        <v>3</v>
      </c>
      <c r="AL20" s="44" cm="1">
        <f t="array" ref="AL20">MMULT($Y20:$AB20,AL$5:AL$8)</f>
        <v>0</v>
      </c>
      <c r="AM20" s="44" cm="1">
        <f t="array" ref="AM20">MMULT($Y20:$AB20,AM$5:AM$8)</f>
        <v>1</v>
      </c>
      <c r="AN20" s="44" cm="1">
        <f t="array" ref="AN20">MMULT($Y20:$AB20,AN$5:AN$8)</f>
        <v>2</v>
      </c>
      <c r="AO20" s="44" cm="1">
        <f t="array" ref="AO20">MMULT($Y20:$AB20,AO$5:AO$8)</f>
        <v>1</v>
      </c>
    </row>
    <row r="21" spans="1:41" ht="14" thickBot="1">
      <c r="C21" s="1" t="s">
        <v>26</v>
      </c>
      <c r="J21" s="4" t="s">
        <v>15</v>
      </c>
      <c r="K21" s="4" t="s">
        <v>17</v>
      </c>
      <c r="L21" s="4" t="s">
        <v>19</v>
      </c>
      <c r="M21" s="4" t="s">
        <v>21</v>
      </c>
      <c r="N21" s="4" t="s">
        <v>89</v>
      </c>
      <c r="O21" s="4" t="s">
        <v>90</v>
      </c>
      <c r="P21" s="4" t="s">
        <v>91</v>
      </c>
      <c r="Q21" s="4" t="s">
        <v>92</v>
      </c>
      <c r="R21" s="4" t="s">
        <v>116</v>
      </c>
      <c r="S21" s="4" t="s">
        <v>117</v>
      </c>
      <c r="T21" s="4" t="s">
        <v>118</v>
      </c>
      <c r="U21" s="37" t="s">
        <v>119</v>
      </c>
      <c r="X21" s="4" t="s">
        <v>118</v>
      </c>
      <c r="Y21" s="56">
        <v>1</v>
      </c>
      <c r="Z21" s="56">
        <v>0</v>
      </c>
      <c r="AA21" s="56">
        <v>0</v>
      </c>
      <c r="AB21" s="56">
        <v>-1</v>
      </c>
      <c r="AD21" s="44" cm="1">
        <f t="array" ref="AD21">MMULT($Y21:$AB21,AD$5:AD$8)</f>
        <v>-1</v>
      </c>
      <c r="AE21" s="44" cm="1">
        <f t="array" ref="AE21">MMULT($Y21:$AB21,AE$5:AE$8)</f>
        <v>-1</v>
      </c>
      <c r="AF21" s="44" cm="1">
        <f t="array" ref="AF21">MMULT($Y21:$AB21,AF$5:AF$8)</f>
        <v>-1</v>
      </c>
      <c r="AG21" s="44" cm="1">
        <f t="array" ref="AG21">MMULT($Y21:$AB21,AG$5:AG$8)</f>
        <v>-1</v>
      </c>
      <c r="AH21" s="44" cm="1">
        <f t="array" ref="AH21">MMULT($Y21:$AB21,AH$5:AH$8)</f>
        <v>0</v>
      </c>
      <c r="AI21" s="44" cm="1">
        <f t="array" ref="AI21">MMULT($Y21:$AB21,AI$5:AI$8)</f>
        <v>-3</v>
      </c>
      <c r="AJ21" s="44" cm="1">
        <f t="array" ref="AJ21">MMULT($Y21:$AB21,AJ$5:AJ$8)</f>
        <v>-2</v>
      </c>
      <c r="AK21" s="44" cm="1">
        <f t="array" ref="AK21">MMULT($Y21:$AB21,AK$5:AK$8)</f>
        <v>-2</v>
      </c>
      <c r="AL21" s="44" cm="1">
        <f t="array" ref="AL21">MMULT($Y21:$AB21,AL$5:AL$8)</f>
        <v>-1</v>
      </c>
      <c r="AM21" s="44" cm="1">
        <f t="array" ref="AM21">MMULT($Y21:$AB21,AM$5:AM$8)</f>
        <v>0</v>
      </c>
      <c r="AN21" s="44" cm="1">
        <f t="array" ref="AN21">MMULT($Y21:$AB21,AN$5:AN$8)</f>
        <v>-2</v>
      </c>
      <c r="AO21" s="44" cm="1">
        <f t="array" ref="AO21">MMULT($Y21:$AB21,AO$5:AO$8)</f>
        <v>1</v>
      </c>
    </row>
    <row r="22" spans="1:41" ht="13">
      <c r="C22" s="15">
        <v>0</v>
      </c>
      <c r="D22" s="16">
        <v>0</v>
      </c>
      <c r="E22" s="16">
        <v>1</v>
      </c>
      <c r="F22" s="16">
        <v>0</v>
      </c>
      <c r="G22" s="16">
        <v>0</v>
      </c>
      <c r="H22" s="17">
        <v>0</v>
      </c>
      <c r="I22" s="3" t="s">
        <v>16</v>
      </c>
      <c r="J22" s="44" cm="1">
        <f t="array" ref="J22">MMULT($C22:$H22,J$5:J$10)</f>
        <v>0</v>
      </c>
      <c r="K22" s="44" cm="1">
        <f t="array" ref="K22">MMULT($C22:$H22,K$5:K$10)</f>
        <v>2</v>
      </c>
      <c r="L22" s="44" cm="1">
        <f t="array" ref="L22">MMULT($C22:$H22,L$5:L$10)</f>
        <v>2</v>
      </c>
      <c r="M22" s="44" cm="1">
        <f t="array" ref="M22">MMULT($C22:$H22,M$5:M$10)</f>
        <v>0</v>
      </c>
      <c r="N22" s="44" cm="1">
        <f t="array" ref="N22">MMULT($C22:$H22,N$5:N$10)</f>
        <v>0</v>
      </c>
      <c r="O22" s="44" cm="1">
        <f t="array" ref="O22">MMULT($C22:$H22,O$5:O$10)</f>
        <v>2</v>
      </c>
      <c r="P22" s="44" cm="1">
        <f t="array" ref="P22">MMULT($C22:$H22,P$5:P$10)</f>
        <v>2</v>
      </c>
      <c r="Q22" s="44" cm="1">
        <f t="array" ref="Q22">MMULT($C22:$H22,Q$5:Q$10)</f>
        <v>0</v>
      </c>
      <c r="R22" s="44" cm="1">
        <f t="array" ref="R22">MMULT($C22:$H22,R$5:R$10)</f>
        <v>0</v>
      </c>
      <c r="S22" s="44" cm="1">
        <f t="array" ref="S22">MMULT($C22:$H22,S$5:S$10)</f>
        <v>0</v>
      </c>
      <c r="T22" s="44" cm="1">
        <f t="array" ref="T22">MMULT($C22:$H22,T$5:T$10)</f>
        <v>1</v>
      </c>
      <c r="U22" s="44" cm="1">
        <f t="array" ref="U22">MMULT($C22:$H22,U$5:U$10)</f>
        <v>0</v>
      </c>
      <c r="X22" s="4" t="s">
        <v>119</v>
      </c>
      <c r="Y22" s="56">
        <v>0</v>
      </c>
      <c r="Z22" s="56">
        <v>0</v>
      </c>
      <c r="AA22" s="56">
        <v>0</v>
      </c>
      <c r="AB22" s="56">
        <v>1</v>
      </c>
      <c r="AD22" s="44" cm="1">
        <f t="array" ref="AD22">MMULT($Y22:$AB22,AD$5:AD$8)</f>
        <v>3</v>
      </c>
      <c r="AE22" s="44" cm="1">
        <f t="array" ref="AE22">MMULT($Y22:$AB22,AE$5:AE$8)</f>
        <v>2</v>
      </c>
      <c r="AF22" s="44" cm="1">
        <f t="array" ref="AF22">MMULT($Y22:$AB22,AF$5:AF$8)</f>
        <v>2</v>
      </c>
      <c r="AG22" s="44" cm="1">
        <f t="array" ref="AG22">MMULT($Y22:$AB22,AG$5:AG$8)</f>
        <v>1</v>
      </c>
      <c r="AH22" s="44" cm="1">
        <f t="array" ref="AH22">MMULT($Y22:$AB22,AH$5:AH$8)</f>
        <v>1</v>
      </c>
      <c r="AI22" s="44" cm="1">
        <f t="array" ref="AI22">MMULT($Y22:$AB22,AI$5:AI$8)</f>
        <v>3</v>
      </c>
      <c r="AJ22" s="44" cm="1">
        <f t="array" ref="AJ22">MMULT($Y22:$AB22,AJ$5:AJ$8)</f>
        <v>2</v>
      </c>
      <c r="AK22" s="44" cm="1">
        <f t="array" ref="AK22">MMULT($Y22:$AB22,AK$5:AK$8)</f>
        <v>3</v>
      </c>
      <c r="AL22" s="44" cm="1">
        <f t="array" ref="AL22">MMULT($Y22:$AB22,AL$5:AL$8)</f>
        <v>0</v>
      </c>
      <c r="AM22" s="44" cm="1">
        <f t="array" ref="AM22">MMULT($Y22:$AB22,AM$5:AM$8)</f>
        <v>1</v>
      </c>
      <c r="AN22" s="44" cm="1">
        <f t="array" ref="AN22">MMULT($Y22:$AB22,AN$5:AN$8)</f>
        <v>2</v>
      </c>
      <c r="AO22" s="44" cm="1">
        <f t="array" ref="AO22">MMULT($Y22:$AB22,AO$5:AO$8)</f>
        <v>1</v>
      </c>
    </row>
    <row r="23" spans="1:41" ht="13">
      <c r="C23" s="18">
        <v>0</v>
      </c>
      <c r="D23" s="19">
        <v>1</v>
      </c>
      <c r="E23" s="19">
        <v>0</v>
      </c>
      <c r="F23" s="19">
        <v>0</v>
      </c>
      <c r="G23" s="19">
        <v>0</v>
      </c>
      <c r="H23" s="20">
        <v>0</v>
      </c>
      <c r="I23" s="3" t="s">
        <v>16</v>
      </c>
      <c r="J23" s="44" cm="1">
        <f t="array" ref="J23">MMULT($C23:$H23,J$5:J$10)</f>
        <v>0</v>
      </c>
      <c r="K23" s="44" cm="1">
        <f t="array" ref="K23">MMULT($C23:$H23,K$5:K$10)</f>
        <v>1</v>
      </c>
      <c r="L23" s="44" cm="1">
        <f t="array" ref="L23">MMULT($C23:$H23,L$5:L$10)</f>
        <v>1</v>
      </c>
      <c r="M23" s="44" cm="1">
        <f t="array" ref="M23">MMULT($C23:$H23,M$5:M$10)</f>
        <v>0</v>
      </c>
      <c r="N23" s="44" cm="1">
        <f t="array" ref="N23">MMULT($C23:$H23,N$5:N$10)</f>
        <v>1</v>
      </c>
      <c r="O23" s="44" cm="1">
        <f t="array" ref="O23">MMULT($C23:$H23,O$5:O$10)</f>
        <v>0</v>
      </c>
      <c r="P23" s="44" cm="1">
        <f t="array" ref="P23">MMULT($C23:$H23,P$5:P$10)</f>
        <v>0</v>
      </c>
      <c r="Q23" s="44" cm="1">
        <f t="array" ref="Q23">MMULT($C23:$H23,Q$5:Q$10)</f>
        <v>1</v>
      </c>
      <c r="R23" s="44" cm="1">
        <f t="array" ref="R23">MMULT($C23:$H23,R$5:R$10)</f>
        <v>-1</v>
      </c>
      <c r="S23" s="44" cm="1">
        <f t="array" ref="S23">MMULT($C23:$H23,S$5:S$10)</f>
        <v>0</v>
      </c>
      <c r="T23" s="44" cm="1">
        <f t="array" ref="T23">MMULT($C23:$H23,T$5:T$10)</f>
        <v>0</v>
      </c>
      <c r="U23" s="44" cm="1">
        <f t="array" ref="U23">MMULT($C23:$H23,U$5:U$10)</f>
        <v>0</v>
      </c>
      <c r="X23" s="4"/>
      <c r="Z23" s="38"/>
      <c r="AA23" s="38"/>
      <c r="AD23" s="48" t="s">
        <v>22</v>
      </c>
    </row>
    <row r="24" spans="1:41" ht="13">
      <c r="C24" s="18">
        <v>0</v>
      </c>
      <c r="D24" s="19">
        <v>1</v>
      </c>
      <c r="E24" s="19">
        <v>0</v>
      </c>
      <c r="F24" s="19">
        <v>0</v>
      </c>
      <c r="G24" s="19">
        <v>0</v>
      </c>
      <c r="H24" s="20">
        <v>0</v>
      </c>
      <c r="I24" s="3" t="s">
        <v>16</v>
      </c>
      <c r="J24" s="44" cm="1">
        <f t="array" ref="J24">MMULT($C24:$H24,J$5:J$10)</f>
        <v>0</v>
      </c>
      <c r="K24" s="44" cm="1">
        <f t="array" ref="K24">MMULT($C24:$H24,K$5:K$10)</f>
        <v>1</v>
      </c>
      <c r="L24" s="44" cm="1">
        <f t="array" ref="L24">MMULT($C24:$H24,L$5:L$10)</f>
        <v>1</v>
      </c>
      <c r="M24" s="44" cm="1">
        <f t="array" ref="M24">MMULT($C24:$H24,M$5:M$10)</f>
        <v>0</v>
      </c>
      <c r="N24" s="44" cm="1">
        <f t="array" ref="N24">MMULT($C24:$H24,N$5:N$10)</f>
        <v>1</v>
      </c>
      <c r="O24" s="44" cm="1">
        <f t="array" ref="O24">MMULT($C24:$H24,O$5:O$10)</f>
        <v>0</v>
      </c>
      <c r="P24" s="44" cm="1">
        <f t="array" ref="P24">MMULT($C24:$H24,P$5:P$10)</f>
        <v>0</v>
      </c>
      <c r="Q24" s="44" cm="1">
        <f t="array" ref="Q24">MMULT($C24:$H24,Q$5:Q$10)</f>
        <v>1</v>
      </c>
      <c r="R24" s="44" cm="1">
        <f t="array" ref="R24">MMULT($C24:$H24,R$5:R$10)</f>
        <v>-1</v>
      </c>
      <c r="S24" s="44" cm="1">
        <f t="array" ref="S24">MMULT($C24:$H24,S$5:S$10)</f>
        <v>0</v>
      </c>
      <c r="T24" s="44" cm="1">
        <f t="array" ref="T24">MMULT($C24:$H24,T$5:T$10)</f>
        <v>0</v>
      </c>
      <c r="U24" s="44" cm="1">
        <f t="array" ref="U24">MMULT($C24:$H24,U$5:U$10)</f>
        <v>0</v>
      </c>
      <c r="W24" s="27" t="s">
        <v>25</v>
      </c>
      <c r="X24" s="4"/>
      <c r="AD24" s="3" t="s">
        <v>14</v>
      </c>
      <c r="AE24" s="3" t="s">
        <v>14</v>
      </c>
      <c r="AF24" s="3" t="s">
        <v>14</v>
      </c>
      <c r="AG24" s="3" t="s">
        <v>14</v>
      </c>
      <c r="AH24" s="3" t="s">
        <v>14</v>
      </c>
      <c r="AI24" s="3" t="s">
        <v>14</v>
      </c>
      <c r="AJ24" s="3" t="s">
        <v>14</v>
      </c>
      <c r="AK24" s="3" t="s">
        <v>14</v>
      </c>
    </row>
    <row r="25" spans="1:41" ht="14" thickBot="1">
      <c r="C25" s="22">
        <v>1</v>
      </c>
      <c r="D25" s="23">
        <v>0</v>
      </c>
      <c r="E25" s="23">
        <v>0</v>
      </c>
      <c r="F25" s="23">
        <v>0</v>
      </c>
      <c r="G25" s="23">
        <v>0</v>
      </c>
      <c r="H25" s="24">
        <v>-1</v>
      </c>
      <c r="I25" s="3" t="s">
        <v>16</v>
      </c>
      <c r="J25" s="44" cm="1">
        <f t="array" ref="J25">MMULT($C25:$H25,J$5:J$10)</f>
        <v>1</v>
      </c>
      <c r="K25" s="44" cm="1">
        <f t="array" ref="K25">MMULT($C25:$H25,K$5:K$10)</f>
        <v>0</v>
      </c>
      <c r="L25" s="44" cm="1">
        <f t="array" ref="L25">MMULT($C25:$H25,L$5:L$10)</f>
        <v>0</v>
      </c>
      <c r="M25" s="44" cm="1">
        <f t="array" ref="M25">MMULT($C25:$H25,M$5:M$10)</f>
        <v>0</v>
      </c>
      <c r="N25" s="44" cm="1">
        <f t="array" ref="N25">MMULT($C25:$H25,N$5:N$10)</f>
        <v>0</v>
      </c>
      <c r="O25" s="44" cm="1">
        <f t="array" ref="O25">MMULT($C25:$H25,O$5:O$10)</f>
        <v>-1</v>
      </c>
      <c r="P25" s="44" cm="1">
        <f t="array" ref="P25">MMULT($C25:$H25,P$5:P$10)</f>
        <v>0</v>
      </c>
      <c r="Q25" s="44" cm="1">
        <f t="array" ref="Q25">MMULT($C25:$H25,Q$5:Q$10)</f>
        <v>-1</v>
      </c>
      <c r="R25" s="44" cm="1">
        <f t="array" ref="R25">MMULT($C25:$H25,R$5:R$10)</f>
        <v>0</v>
      </c>
      <c r="S25" s="44" cm="1">
        <f t="array" ref="S25">MMULT($C25:$H25,S$5:S$10)</f>
        <v>1</v>
      </c>
      <c r="T25" s="44" cm="1">
        <f t="array" ref="T25">MMULT($C25:$H25,T$5:T$10)</f>
        <v>-1</v>
      </c>
      <c r="U25" s="44" cm="1">
        <f t="array" ref="U25">MMULT($C25:$H25,U$5:U$10)</f>
        <v>1</v>
      </c>
      <c r="X25" s="4"/>
      <c r="Y25" s="25" t="s">
        <v>23</v>
      </c>
      <c r="Z25" s="62"/>
      <c r="AA25" s="62"/>
      <c r="AB25" s="62"/>
      <c r="AD25" s="44">
        <f t="shared" ref="AD25:AO25" si="4">AD11/SQRT(_dk)</f>
        <v>1.5</v>
      </c>
      <c r="AE25" s="44">
        <f t="shared" si="4"/>
        <v>1</v>
      </c>
      <c r="AF25" s="44">
        <f t="shared" si="4"/>
        <v>1</v>
      </c>
      <c r="AG25" s="44">
        <f t="shared" si="4"/>
        <v>0.5</v>
      </c>
      <c r="AH25" s="44">
        <f t="shared" si="4"/>
        <v>0.5</v>
      </c>
      <c r="AI25" s="44">
        <f t="shared" si="4"/>
        <v>1.5</v>
      </c>
      <c r="AJ25" s="44">
        <f t="shared" si="4"/>
        <v>1</v>
      </c>
      <c r="AK25" s="44">
        <f t="shared" si="4"/>
        <v>1.5</v>
      </c>
      <c r="AL25" s="44">
        <f t="shared" si="4"/>
        <v>0</v>
      </c>
      <c r="AM25" s="44">
        <f t="shared" si="4"/>
        <v>0.5</v>
      </c>
      <c r="AN25" s="44">
        <f t="shared" si="4"/>
        <v>1</v>
      </c>
      <c r="AO25" s="44">
        <f t="shared" si="4"/>
        <v>0.5</v>
      </c>
    </row>
    <row r="26" spans="1:41" ht="13">
      <c r="X26" s="31"/>
      <c r="Y26" s="4" t="s">
        <v>27</v>
      </c>
      <c r="AD26" s="44">
        <f t="shared" ref="AD26:AO26" si="5">AD12/SQRT(_dk)</f>
        <v>2</v>
      </c>
      <c r="AE26" s="44">
        <f t="shared" si="5"/>
        <v>2</v>
      </c>
      <c r="AF26" s="44">
        <f t="shared" si="5"/>
        <v>2</v>
      </c>
      <c r="AG26" s="44">
        <f t="shared" si="5"/>
        <v>2</v>
      </c>
      <c r="AH26" s="44">
        <f t="shared" si="5"/>
        <v>2</v>
      </c>
      <c r="AI26" s="44">
        <f t="shared" si="5"/>
        <v>0</v>
      </c>
      <c r="AJ26" s="44">
        <f t="shared" si="5"/>
        <v>0</v>
      </c>
      <c r="AK26" s="44">
        <f t="shared" si="5"/>
        <v>2</v>
      </c>
      <c r="AL26" s="44">
        <f t="shared" si="5"/>
        <v>-1</v>
      </c>
      <c r="AM26" s="44">
        <f t="shared" si="5"/>
        <v>1</v>
      </c>
      <c r="AN26" s="44">
        <f t="shared" si="5"/>
        <v>1</v>
      </c>
      <c r="AO26" s="44">
        <f t="shared" si="5"/>
        <v>3</v>
      </c>
    </row>
    <row r="27" spans="1:41" ht="13">
      <c r="X27" s="4"/>
      <c r="Y27" s="4"/>
      <c r="AD27" s="44">
        <f t="shared" ref="AD27:AO27" si="6">AD13/SQRT(_dk)</f>
        <v>2</v>
      </c>
      <c r="AE27" s="44">
        <f t="shared" si="6"/>
        <v>2</v>
      </c>
      <c r="AF27" s="44">
        <f t="shared" si="6"/>
        <v>2</v>
      </c>
      <c r="AG27" s="44">
        <f t="shared" si="6"/>
        <v>2</v>
      </c>
      <c r="AH27" s="44">
        <f t="shared" si="6"/>
        <v>2</v>
      </c>
      <c r="AI27" s="44">
        <f t="shared" si="6"/>
        <v>0</v>
      </c>
      <c r="AJ27" s="44">
        <f t="shared" si="6"/>
        <v>0</v>
      </c>
      <c r="AK27" s="44">
        <f t="shared" si="6"/>
        <v>2</v>
      </c>
      <c r="AL27" s="44">
        <f t="shared" si="6"/>
        <v>-1</v>
      </c>
      <c r="AM27" s="44">
        <f t="shared" si="6"/>
        <v>1</v>
      </c>
      <c r="AN27" s="44">
        <f t="shared" si="6"/>
        <v>1</v>
      </c>
      <c r="AO27" s="44">
        <f t="shared" si="6"/>
        <v>3</v>
      </c>
    </row>
    <row r="28" spans="1:41" ht="13">
      <c r="X28" s="31"/>
      <c r="Y28" s="4"/>
      <c r="AD28" s="44">
        <f t="shared" ref="AD28:AO28" si="7">AD14/SQRT(_dk)</f>
        <v>0</v>
      </c>
      <c r="AE28" s="44">
        <f t="shared" si="7"/>
        <v>0</v>
      </c>
      <c r="AF28" s="44">
        <f t="shared" si="7"/>
        <v>0</v>
      </c>
      <c r="AG28" s="44">
        <f t="shared" si="7"/>
        <v>0</v>
      </c>
      <c r="AH28" s="44">
        <f t="shared" si="7"/>
        <v>0</v>
      </c>
      <c r="AI28" s="44">
        <f t="shared" si="7"/>
        <v>0</v>
      </c>
      <c r="AJ28" s="44">
        <f t="shared" si="7"/>
        <v>0</v>
      </c>
      <c r="AK28" s="44">
        <f t="shared" si="7"/>
        <v>0</v>
      </c>
      <c r="AL28" s="44">
        <f t="shared" si="7"/>
        <v>0</v>
      </c>
      <c r="AM28" s="44">
        <f t="shared" si="7"/>
        <v>0</v>
      </c>
      <c r="AN28" s="44">
        <f t="shared" si="7"/>
        <v>0</v>
      </c>
      <c r="AO28" s="44">
        <f t="shared" si="7"/>
        <v>0</v>
      </c>
    </row>
    <row r="29" spans="1:41" ht="13">
      <c r="X29" s="31"/>
      <c r="Y29" s="4"/>
      <c r="AD29" s="44">
        <f t="shared" ref="AD29:AO29" si="8">AD15/SQRT(_dk)</f>
        <v>0</v>
      </c>
      <c r="AE29" s="44">
        <f t="shared" si="8"/>
        <v>1</v>
      </c>
      <c r="AF29" s="44">
        <f t="shared" si="8"/>
        <v>1</v>
      </c>
      <c r="AG29" s="44">
        <f t="shared" si="8"/>
        <v>2</v>
      </c>
      <c r="AH29" s="44">
        <f t="shared" si="8"/>
        <v>1</v>
      </c>
      <c r="AI29" s="44">
        <f t="shared" si="8"/>
        <v>0</v>
      </c>
      <c r="AJ29" s="44">
        <f t="shared" si="8"/>
        <v>0</v>
      </c>
      <c r="AK29" s="44">
        <f t="shared" si="8"/>
        <v>1</v>
      </c>
      <c r="AL29" s="44">
        <f t="shared" si="8"/>
        <v>0</v>
      </c>
      <c r="AM29" s="44">
        <f t="shared" si="8"/>
        <v>0</v>
      </c>
      <c r="AN29" s="44">
        <f t="shared" si="8"/>
        <v>1</v>
      </c>
      <c r="AO29" s="44">
        <f t="shared" si="8"/>
        <v>1</v>
      </c>
    </row>
    <row r="30" spans="1:41" ht="13">
      <c r="X30" s="31"/>
      <c r="Y30" s="4"/>
      <c r="AD30" s="44">
        <f t="shared" ref="AD30:AO30" si="9">AD16/SQRT(_dk)</f>
        <v>0.5</v>
      </c>
      <c r="AE30" s="44">
        <f t="shared" si="9"/>
        <v>0</v>
      </c>
      <c r="AF30" s="44">
        <f t="shared" si="9"/>
        <v>0</v>
      </c>
      <c r="AG30" s="44">
        <f t="shared" si="9"/>
        <v>-0.5</v>
      </c>
      <c r="AH30" s="44">
        <f t="shared" si="9"/>
        <v>0.5</v>
      </c>
      <c r="AI30" s="44">
        <f t="shared" si="9"/>
        <v>-1.5</v>
      </c>
      <c r="AJ30" s="44">
        <f t="shared" si="9"/>
        <v>-1</v>
      </c>
      <c r="AK30" s="44">
        <f t="shared" si="9"/>
        <v>-0.5</v>
      </c>
      <c r="AL30" s="44">
        <f t="shared" si="9"/>
        <v>-1</v>
      </c>
      <c r="AM30" s="44">
        <f t="shared" si="9"/>
        <v>0.5</v>
      </c>
      <c r="AN30" s="44">
        <f t="shared" si="9"/>
        <v>-1</v>
      </c>
      <c r="AO30" s="44">
        <f t="shared" si="9"/>
        <v>1.5</v>
      </c>
    </row>
    <row r="31" spans="1:41" ht="13">
      <c r="X31" s="31"/>
      <c r="AD31" s="44">
        <f t="shared" ref="AD31:AO31" si="10">AD17/SQRT(_dk)</f>
        <v>2</v>
      </c>
      <c r="AE31" s="44">
        <f t="shared" si="10"/>
        <v>1</v>
      </c>
      <c r="AF31" s="44">
        <f t="shared" si="10"/>
        <v>1</v>
      </c>
      <c r="AG31" s="44">
        <f t="shared" si="10"/>
        <v>0</v>
      </c>
      <c r="AH31" s="44">
        <f t="shared" si="10"/>
        <v>1</v>
      </c>
      <c r="AI31" s="44">
        <f t="shared" si="10"/>
        <v>0</v>
      </c>
      <c r="AJ31" s="44">
        <f t="shared" si="10"/>
        <v>0</v>
      </c>
      <c r="AK31" s="44">
        <f t="shared" si="10"/>
        <v>1</v>
      </c>
      <c r="AL31" s="44">
        <f t="shared" si="10"/>
        <v>-1</v>
      </c>
      <c r="AM31" s="44">
        <f t="shared" si="10"/>
        <v>1</v>
      </c>
      <c r="AN31" s="44">
        <f t="shared" si="10"/>
        <v>0</v>
      </c>
      <c r="AO31" s="44">
        <f t="shared" si="10"/>
        <v>2</v>
      </c>
    </row>
    <row r="32" spans="1:41" ht="13">
      <c r="X32" s="31"/>
      <c r="AD32" s="44">
        <f t="shared" ref="AD32:AO32" si="11">AD18/SQRT(_dk)</f>
        <v>-1.5</v>
      </c>
      <c r="AE32" s="44">
        <f t="shared" si="11"/>
        <v>0</v>
      </c>
      <c r="AF32" s="44">
        <f t="shared" si="11"/>
        <v>0</v>
      </c>
      <c r="AG32" s="44">
        <f t="shared" si="11"/>
        <v>1.5</v>
      </c>
      <c r="AH32" s="44">
        <f t="shared" si="11"/>
        <v>0.5</v>
      </c>
      <c r="AI32" s="44">
        <f t="shared" si="11"/>
        <v>-1.5</v>
      </c>
      <c r="AJ32" s="44">
        <f t="shared" si="11"/>
        <v>-1</v>
      </c>
      <c r="AK32" s="44">
        <f t="shared" si="11"/>
        <v>-0.5</v>
      </c>
      <c r="AL32" s="44">
        <f t="shared" si="11"/>
        <v>0</v>
      </c>
      <c r="AM32" s="44">
        <f t="shared" si="11"/>
        <v>-0.5</v>
      </c>
      <c r="AN32" s="44">
        <f t="shared" si="11"/>
        <v>0</v>
      </c>
      <c r="AO32" s="44">
        <f t="shared" si="11"/>
        <v>0.5</v>
      </c>
    </row>
    <row r="33" spans="22:41" ht="13">
      <c r="X33" s="31"/>
      <c r="AD33" s="44">
        <f t="shared" ref="AD33:AO33" si="12">AD19/SQRT(_dk)</f>
        <v>0</v>
      </c>
      <c r="AE33" s="44">
        <f t="shared" si="12"/>
        <v>-1</v>
      </c>
      <c r="AF33" s="44">
        <f t="shared" si="12"/>
        <v>-1</v>
      </c>
      <c r="AG33" s="44">
        <f t="shared" si="12"/>
        <v>-2</v>
      </c>
      <c r="AH33" s="44">
        <f t="shared" si="12"/>
        <v>-1</v>
      </c>
      <c r="AI33" s="44">
        <f t="shared" si="12"/>
        <v>0</v>
      </c>
      <c r="AJ33" s="44">
        <f t="shared" si="12"/>
        <v>0</v>
      </c>
      <c r="AK33" s="44">
        <f t="shared" si="12"/>
        <v>-1</v>
      </c>
      <c r="AL33" s="44">
        <f t="shared" si="12"/>
        <v>0</v>
      </c>
      <c r="AM33" s="44">
        <f t="shared" si="12"/>
        <v>0</v>
      </c>
      <c r="AN33" s="44">
        <f t="shared" si="12"/>
        <v>-1</v>
      </c>
      <c r="AO33" s="44">
        <f t="shared" si="12"/>
        <v>-1</v>
      </c>
    </row>
    <row r="34" spans="22:41" ht="13">
      <c r="AD34" s="44">
        <f t="shared" ref="AD34:AO34" si="13">AD20/SQRT(_dk)</f>
        <v>1.5</v>
      </c>
      <c r="AE34" s="44">
        <f t="shared" si="13"/>
        <v>1</v>
      </c>
      <c r="AF34" s="44">
        <f t="shared" si="13"/>
        <v>1</v>
      </c>
      <c r="AG34" s="44">
        <f t="shared" si="13"/>
        <v>0.5</v>
      </c>
      <c r="AH34" s="44">
        <f t="shared" si="13"/>
        <v>0.5</v>
      </c>
      <c r="AI34" s="44">
        <f t="shared" si="13"/>
        <v>1.5</v>
      </c>
      <c r="AJ34" s="44">
        <f t="shared" si="13"/>
        <v>1</v>
      </c>
      <c r="AK34" s="44">
        <f t="shared" si="13"/>
        <v>1.5</v>
      </c>
      <c r="AL34" s="44">
        <f t="shared" si="13"/>
        <v>0</v>
      </c>
      <c r="AM34" s="44">
        <f t="shared" si="13"/>
        <v>0.5</v>
      </c>
      <c r="AN34" s="44">
        <f t="shared" si="13"/>
        <v>1</v>
      </c>
      <c r="AO34" s="44">
        <f t="shared" si="13"/>
        <v>0.5</v>
      </c>
    </row>
    <row r="35" spans="22:41" ht="13">
      <c r="AD35" s="44">
        <f t="shared" ref="AD35:AO35" si="14">AD21/SQRT(_dk)</f>
        <v>-0.5</v>
      </c>
      <c r="AE35" s="44">
        <f t="shared" si="14"/>
        <v>-0.5</v>
      </c>
      <c r="AF35" s="44">
        <f t="shared" si="14"/>
        <v>-0.5</v>
      </c>
      <c r="AG35" s="44">
        <f t="shared" si="14"/>
        <v>-0.5</v>
      </c>
      <c r="AH35" s="44">
        <f t="shared" si="14"/>
        <v>0</v>
      </c>
      <c r="AI35" s="44">
        <f t="shared" si="14"/>
        <v>-1.5</v>
      </c>
      <c r="AJ35" s="44">
        <f t="shared" si="14"/>
        <v>-1</v>
      </c>
      <c r="AK35" s="44">
        <f t="shared" si="14"/>
        <v>-1</v>
      </c>
      <c r="AL35" s="44">
        <f t="shared" si="14"/>
        <v>-0.5</v>
      </c>
      <c r="AM35" s="44">
        <f t="shared" si="14"/>
        <v>0</v>
      </c>
      <c r="AN35" s="44">
        <f t="shared" si="14"/>
        <v>-1</v>
      </c>
      <c r="AO35" s="44">
        <f t="shared" si="14"/>
        <v>0.5</v>
      </c>
    </row>
    <row r="36" spans="22:41" ht="13">
      <c r="AD36" s="44">
        <f t="shared" ref="AD36:AO36" si="15">AD22/SQRT(_dk)</f>
        <v>1.5</v>
      </c>
      <c r="AE36" s="44">
        <f t="shared" si="15"/>
        <v>1</v>
      </c>
      <c r="AF36" s="44">
        <f t="shared" si="15"/>
        <v>1</v>
      </c>
      <c r="AG36" s="44">
        <f t="shared" si="15"/>
        <v>0.5</v>
      </c>
      <c r="AH36" s="44">
        <f t="shared" si="15"/>
        <v>0.5</v>
      </c>
      <c r="AI36" s="44">
        <f t="shared" si="15"/>
        <v>1.5</v>
      </c>
      <c r="AJ36" s="44">
        <f t="shared" si="15"/>
        <v>1</v>
      </c>
      <c r="AK36" s="44">
        <f t="shared" si="15"/>
        <v>1.5</v>
      </c>
      <c r="AL36" s="44">
        <f t="shared" si="15"/>
        <v>0</v>
      </c>
      <c r="AM36" s="44">
        <f t="shared" si="15"/>
        <v>0.5</v>
      </c>
      <c r="AN36" s="44">
        <f t="shared" si="15"/>
        <v>1</v>
      </c>
      <c r="AO36" s="44">
        <f t="shared" si="15"/>
        <v>0.5</v>
      </c>
    </row>
    <row r="37" spans="22:41" ht="13">
      <c r="AD37" s="3" t="s">
        <v>14</v>
      </c>
      <c r="AE37" s="3" t="s">
        <v>14</v>
      </c>
      <c r="AF37" s="3" t="s">
        <v>14</v>
      </c>
      <c r="AG37" s="3" t="s">
        <v>14</v>
      </c>
      <c r="AH37" s="3" t="s">
        <v>14</v>
      </c>
      <c r="AI37" s="3" t="s">
        <v>14</v>
      </c>
      <c r="AJ37" s="3" t="s">
        <v>14</v>
      </c>
      <c r="AK37" s="3" t="s">
        <v>14</v>
      </c>
    </row>
    <row r="38" spans="22:41" ht="13">
      <c r="Y38" s="51" t="s">
        <v>28</v>
      </c>
      <c r="Z38" s="61"/>
      <c r="AA38" s="61"/>
      <c r="AB38" s="61"/>
      <c r="AD38" s="54">
        <f>EXP(AD25)</f>
        <v>4.4816890703380645</v>
      </c>
      <c r="AE38" s="54">
        <f t="shared" ref="AE38:AO38" si="16">EXP(AE25)</f>
        <v>2.7182818284590451</v>
      </c>
      <c r="AF38" s="54">
        <f t="shared" si="16"/>
        <v>2.7182818284590451</v>
      </c>
      <c r="AG38" s="54">
        <f t="shared" si="16"/>
        <v>1.6487212707001282</v>
      </c>
      <c r="AH38" s="54">
        <f t="shared" si="16"/>
        <v>1.6487212707001282</v>
      </c>
      <c r="AI38" s="54">
        <f t="shared" si="16"/>
        <v>4.4816890703380645</v>
      </c>
      <c r="AJ38" s="54">
        <f t="shared" si="16"/>
        <v>2.7182818284590451</v>
      </c>
      <c r="AK38" s="54">
        <f t="shared" si="16"/>
        <v>4.4816890703380645</v>
      </c>
      <c r="AL38" s="54">
        <f t="shared" si="16"/>
        <v>1</v>
      </c>
      <c r="AM38" s="54">
        <f t="shared" si="16"/>
        <v>1.6487212707001282</v>
      </c>
      <c r="AN38" s="54">
        <f t="shared" si="16"/>
        <v>2.7182818284590451</v>
      </c>
      <c r="AO38" s="54">
        <f t="shared" si="16"/>
        <v>1.6487212707001282</v>
      </c>
    </row>
    <row r="39" spans="22:41" ht="13">
      <c r="Y39" s="4" t="s">
        <v>29</v>
      </c>
      <c r="AD39" s="54">
        <f t="shared" ref="AD39:AO39" si="17">EXP(AD26)</f>
        <v>7.3890560989306504</v>
      </c>
      <c r="AE39" s="54">
        <f t="shared" si="17"/>
        <v>7.3890560989306504</v>
      </c>
      <c r="AF39" s="54">
        <f t="shared" si="17"/>
        <v>7.3890560989306504</v>
      </c>
      <c r="AG39" s="54">
        <f t="shared" si="17"/>
        <v>7.3890560989306504</v>
      </c>
      <c r="AH39" s="54">
        <f t="shared" si="17"/>
        <v>7.3890560989306504</v>
      </c>
      <c r="AI39" s="54">
        <f t="shared" si="17"/>
        <v>1</v>
      </c>
      <c r="AJ39" s="54">
        <f t="shared" si="17"/>
        <v>1</v>
      </c>
      <c r="AK39" s="54">
        <f t="shared" si="17"/>
        <v>7.3890560989306504</v>
      </c>
      <c r="AL39" s="54">
        <f t="shared" si="17"/>
        <v>0.36787944117144233</v>
      </c>
      <c r="AM39" s="54">
        <f t="shared" si="17"/>
        <v>2.7182818284590451</v>
      </c>
      <c r="AN39" s="54">
        <f t="shared" si="17"/>
        <v>2.7182818284590451</v>
      </c>
      <c r="AO39" s="54">
        <f t="shared" si="17"/>
        <v>20.085536923187668</v>
      </c>
    </row>
    <row r="40" spans="22:41" ht="13">
      <c r="Y40" s="4" t="s">
        <v>30</v>
      </c>
      <c r="AC40" s="37"/>
      <c r="AD40" s="54">
        <f t="shared" ref="AD40:AO40" si="18">EXP(AD27)</f>
        <v>7.3890560989306504</v>
      </c>
      <c r="AE40" s="54">
        <f t="shared" si="18"/>
        <v>7.3890560989306504</v>
      </c>
      <c r="AF40" s="54">
        <f t="shared" si="18"/>
        <v>7.3890560989306504</v>
      </c>
      <c r="AG40" s="54">
        <f t="shared" si="18"/>
        <v>7.3890560989306504</v>
      </c>
      <c r="AH40" s="54">
        <f t="shared" si="18"/>
        <v>7.3890560989306504</v>
      </c>
      <c r="AI40" s="54">
        <f t="shared" si="18"/>
        <v>1</v>
      </c>
      <c r="AJ40" s="54">
        <f t="shared" si="18"/>
        <v>1</v>
      </c>
      <c r="AK40" s="54">
        <f t="shared" si="18"/>
        <v>7.3890560989306504</v>
      </c>
      <c r="AL40" s="54">
        <f t="shared" si="18"/>
        <v>0.36787944117144233</v>
      </c>
      <c r="AM40" s="54">
        <f t="shared" si="18"/>
        <v>2.7182818284590451</v>
      </c>
      <c r="AN40" s="54">
        <f t="shared" si="18"/>
        <v>2.7182818284590451</v>
      </c>
      <c r="AO40" s="54">
        <f t="shared" si="18"/>
        <v>20.085536923187668</v>
      </c>
    </row>
    <row r="41" spans="22:41" ht="13">
      <c r="AC41" s="37"/>
      <c r="AD41" s="54">
        <f t="shared" ref="AD41:AO41" si="19">EXP(AD28)</f>
        <v>1</v>
      </c>
      <c r="AE41" s="54">
        <f t="shared" si="19"/>
        <v>1</v>
      </c>
      <c r="AF41" s="54">
        <f t="shared" si="19"/>
        <v>1</v>
      </c>
      <c r="AG41" s="54">
        <f t="shared" si="19"/>
        <v>1</v>
      </c>
      <c r="AH41" s="54">
        <f t="shared" si="19"/>
        <v>1</v>
      </c>
      <c r="AI41" s="54">
        <f t="shared" si="19"/>
        <v>1</v>
      </c>
      <c r="AJ41" s="54">
        <f t="shared" si="19"/>
        <v>1</v>
      </c>
      <c r="AK41" s="54">
        <f t="shared" si="19"/>
        <v>1</v>
      </c>
      <c r="AL41" s="54">
        <f t="shared" si="19"/>
        <v>1</v>
      </c>
      <c r="AM41" s="54">
        <f t="shared" si="19"/>
        <v>1</v>
      </c>
      <c r="AN41" s="54">
        <f t="shared" si="19"/>
        <v>1</v>
      </c>
      <c r="AO41" s="54">
        <f t="shared" si="19"/>
        <v>1</v>
      </c>
    </row>
    <row r="42" spans="22:41" ht="13">
      <c r="AD42" s="54">
        <f t="shared" ref="AD42:AO42" si="20">EXP(AD29)</f>
        <v>1</v>
      </c>
      <c r="AE42" s="54">
        <f t="shared" si="20"/>
        <v>2.7182818284590451</v>
      </c>
      <c r="AF42" s="54">
        <f t="shared" si="20"/>
        <v>2.7182818284590451</v>
      </c>
      <c r="AG42" s="54">
        <f t="shared" si="20"/>
        <v>7.3890560989306504</v>
      </c>
      <c r="AH42" s="54">
        <f t="shared" si="20"/>
        <v>2.7182818284590451</v>
      </c>
      <c r="AI42" s="54">
        <f t="shared" si="20"/>
        <v>1</v>
      </c>
      <c r="AJ42" s="54">
        <f t="shared" si="20"/>
        <v>1</v>
      </c>
      <c r="AK42" s="54">
        <f t="shared" si="20"/>
        <v>2.7182818284590451</v>
      </c>
      <c r="AL42" s="54">
        <f t="shared" si="20"/>
        <v>1</v>
      </c>
      <c r="AM42" s="54">
        <f t="shared" si="20"/>
        <v>1</v>
      </c>
      <c r="AN42" s="54">
        <f t="shared" si="20"/>
        <v>2.7182818284590451</v>
      </c>
      <c r="AO42" s="54">
        <f t="shared" si="20"/>
        <v>2.7182818284590451</v>
      </c>
    </row>
    <row r="43" spans="22:41" ht="13">
      <c r="V43" s="3"/>
      <c r="AD43" s="54">
        <f t="shared" ref="AD43:AO43" si="21">EXP(AD30)</f>
        <v>1.6487212707001282</v>
      </c>
      <c r="AE43" s="54">
        <f t="shared" si="21"/>
        <v>1</v>
      </c>
      <c r="AF43" s="54">
        <f t="shared" si="21"/>
        <v>1</v>
      </c>
      <c r="AG43" s="54">
        <f t="shared" si="21"/>
        <v>0.60653065971263342</v>
      </c>
      <c r="AH43" s="54">
        <f t="shared" si="21"/>
        <v>1.6487212707001282</v>
      </c>
      <c r="AI43" s="54">
        <f t="shared" si="21"/>
        <v>0.22313016014842982</v>
      </c>
      <c r="AJ43" s="54">
        <f t="shared" si="21"/>
        <v>0.36787944117144233</v>
      </c>
      <c r="AK43" s="54">
        <f t="shared" si="21"/>
        <v>0.60653065971263342</v>
      </c>
      <c r="AL43" s="54">
        <f t="shared" si="21"/>
        <v>0.36787944117144233</v>
      </c>
      <c r="AM43" s="54">
        <f t="shared" si="21"/>
        <v>1.6487212707001282</v>
      </c>
      <c r="AN43" s="54">
        <f t="shared" si="21"/>
        <v>0.36787944117144233</v>
      </c>
      <c r="AO43" s="54">
        <f t="shared" si="21"/>
        <v>4.4816890703380645</v>
      </c>
    </row>
    <row r="44" spans="22:41" ht="13">
      <c r="V44" s="3"/>
      <c r="AD44" s="54">
        <f t="shared" ref="AD44:AO44" si="22">EXP(AD31)</f>
        <v>7.3890560989306504</v>
      </c>
      <c r="AE44" s="54">
        <f t="shared" si="22"/>
        <v>2.7182818284590451</v>
      </c>
      <c r="AF44" s="54">
        <f t="shared" si="22"/>
        <v>2.7182818284590451</v>
      </c>
      <c r="AG44" s="54">
        <f t="shared" si="22"/>
        <v>1</v>
      </c>
      <c r="AH44" s="54">
        <f t="shared" si="22"/>
        <v>2.7182818284590451</v>
      </c>
      <c r="AI44" s="54">
        <f t="shared" si="22"/>
        <v>1</v>
      </c>
      <c r="AJ44" s="54">
        <f t="shared" si="22"/>
        <v>1</v>
      </c>
      <c r="AK44" s="54">
        <f t="shared" si="22"/>
        <v>2.7182818284590451</v>
      </c>
      <c r="AL44" s="54">
        <f t="shared" si="22"/>
        <v>0.36787944117144233</v>
      </c>
      <c r="AM44" s="54">
        <f t="shared" si="22"/>
        <v>2.7182818284590451</v>
      </c>
      <c r="AN44" s="54">
        <f t="shared" si="22"/>
        <v>1</v>
      </c>
      <c r="AO44" s="54">
        <f t="shared" si="22"/>
        <v>7.3890560989306504</v>
      </c>
    </row>
    <row r="45" spans="22:41" ht="13">
      <c r="V45" s="3"/>
      <c r="AD45" s="54">
        <f t="shared" ref="AD45:AO45" si="23">EXP(AD32)</f>
        <v>0.22313016014842982</v>
      </c>
      <c r="AE45" s="54">
        <f t="shared" si="23"/>
        <v>1</v>
      </c>
      <c r="AF45" s="54">
        <f t="shared" si="23"/>
        <v>1</v>
      </c>
      <c r="AG45" s="54">
        <f t="shared" si="23"/>
        <v>4.4816890703380645</v>
      </c>
      <c r="AH45" s="54">
        <f t="shared" si="23"/>
        <v>1.6487212707001282</v>
      </c>
      <c r="AI45" s="54">
        <f t="shared" si="23"/>
        <v>0.22313016014842982</v>
      </c>
      <c r="AJ45" s="54">
        <f t="shared" si="23"/>
        <v>0.36787944117144233</v>
      </c>
      <c r="AK45" s="54">
        <f t="shared" si="23"/>
        <v>0.60653065971263342</v>
      </c>
      <c r="AL45" s="54">
        <f t="shared" si="23"/>
        <v>1</v>
      </c>
      <c r="AM45" s="54">
        <f t="shared" si="23"/>
        <v>0.60653065971263342</v>
      </c>
      <c r="AN45" s="54">
        <f t="shared" si="23"/>
        <v>1</v>
      </c>
      <c r="AO45" s="54">
        <f t="shared" si="23"/>
        <v>1.6487212707001282</v>
      </c>
    </row>
    <row r="46" spans="22:41" ht="13">
      <c r="V46" s="3"/>
      <c r="AD46" s="54">
        <f t="shared" ref="AD46:AO46" si="24">EXP(AD33)</f>
        <v>1</v>
      </c>
      <c r="AE46" s="54">
        <f t="shared" si="24"/>
        <v>0.36787944117144233</v>
      </c>
      <c r="AF46" s="54">
        <f t="shared" si="24"/>
        <v>0.36787944117144233</v>
      </c>
      <c r="AG46" s="54">
        <f t="shared" si="24"/>
        <v>0.1353352832366127</v>
      </c>
      <c r="AH46" s="54">
        <f t="shared" si="24"/>
        <v>0.36787944117144233</v>
      </c>
      <c r="AI46" s="54">
        <f t="shared" si="24"/>
        <v>1</v>
      </c>
      <c r="AJ46" s="54">
        <f t="shared" si="24"/>
        <v>1</v>
      </c>
      <c r="AK46" s="54">
        <f t="shared" si="24"/>
        <v>0.36787944117144233</v>
      </c>
      <c r="AL46" s="54">
        <f t="shared" si="24"/>
        <v>1</v>
      </c>
      <c r="AM46" s="54">
        <f t="shared" si="24"/>
        <v>1</v>
      </c>
      <c r="AN46" s="54">
        <f t="shared" si="24"/>
        <v>0.36787944117144233</v>
      </c>
      <c r="AO46" s="54">
        <f t="shared" si="24"/>
        <v>0.36787944117144233</v>
      </c>
    </row>
    <row r="47" spans="22:41" ht="13">
      <c r="V47" s="3"/>
      <c r="AD47" s="54">
        <f t="shared" ref="AD47:AO47" si="25">EXP(AD34)</f>
        <v>4.4816890703380645</v>
      </c>
      <c r="AE47" s="54">
        <f t="shared" si="25"/>
        <v>2.7182818284590451</v>
      </c>
      <c r="AF47" s="54">
        <f t="shared" si="25"/>
        <v>2.7182818284590451</v>
      </c>
      <c r="AG47" s="54">
        <f t="shared" si="25"/>
        <v>1.6487212707001282</v>
      </c>
      <c r="AH47" s="54">
        <f t="shared" si="25"/>
        <v>1.6487212707001282</v>
      </c>
      <c r="AI47" s="54">
        <f t="shared" si="25"/>
        <v>4.4816890703380645</v>
      </c>
      <c r="AJ47" s="54">
        <f t="shared" si="25"/>
        <v>2.7182818284590451</v>
      </c>
      <c r="AK47" s="54">
        <f t="shared" si="25"/>
        <v>4.4816890703380645</v>
      </c>
      <c r="AL47" s="54">
        <f t="shared" si="25"/>
        <v>1</v>
      </c>
      <c r="AM47" s="54">
        <f t="shared" si="25"/>
        <v>1.6487212707001282</v>
      </c>
      <c r="AN47" s="54">
        <f t="shared" si="25"/>
        <v>2.7182818284590451</v>
      </c>
      <c r="AO47" s="54">
        <f t="shared" si="25"/>
        <v>1.6487212707001282</v>
      </c>
    </row>
    <row r="48" spans="22:41" ht="13">
      <c r="V48" s="3"/>
      <c r="AD48" s="54">
        <f t="shared" ref="AD48:AO48" si="26">EXP(AD35)</f>
        <v>0.60653065971263342</v>
      </c>
      <c r="AE48" s="54">
        <f t="shared" si="26"/>
        <v>0.60653065971263342</v>
      </c>
      <c r="AF48" s="54">
        <f t="shared" si="26"/>
        <v>0.60653065971263342</v>
      </c>
      <c r="AG48" s="54">
        <f t="shared" si="26"/>
        <v>0.60653065971263342</v>
      </c>
      <c r="AH48" s="54">
        <f t="shared" si="26"/>
        <v>1</v>
      </c>
      <c r="AI48" s="54">
        <f t="shared" si="26"/>
        <v>0.22313016014842982</v>
      </c>
      <c r="AJ48" s="54">
        <f t="shared" si="26"/>
        <v>0.36787944117144233</v>
      </c>
      <c r="AK48" s="54">
        <f t="shared" si="26"/>
        <v>0.36787944117144233</v>
      </c>
      <c r="AL48" s="54">
        <f t="shared" si="26"/>
        <v>0.60653065971263342</v>
      </c>
      <c r="AM48" s="54">
        <f t="shared" si="26"/>
        <v>1</v>
      </c>
      <c r="AN48" s="54">
        <f t="shared" si="26"/>
        <v>0.36787944117144233</v>
      </c>
      <c r="AO48" s="54">
        <f t="shared" si="26"/>
        <v>1.6487212707001282</v>
      </c>
    </row>
    <row r="49" spans="1:42" ht="13">
      <c r="B49" s="1"/>
      <c r="V49" s="3"/>
      <c r="W49" s="3"/>
      <c r="X49" s="3"/>
      <c r="AD49" s="54">
        <f t="shared" ref="AD49:AO49" si="27">EXP(AD36)</f>
        <v>4.4816890703380645</v>
      </c>
      <c r="AE49" s="54">
        <f t="shared" si="27"/>
        <v>2.7182818284590451</v>
      </c>
      <c r="AF49" s="54">
        <f t="shared" si="27"/>
        <v>2.7182818284590451</v>
      </c>
      <c r="AG49" s="54">
        <f t="shared" si="27"/>
        <v>1.6487212707001282</v>
      </c>
      <c r="AH49" s="54">
        <f t="shared" si="27"/>
        <v>1.6487212707001282</v>
      </c>
      <c r="AI49" s="54">
        <f t="shared" si="27"/>
        <v>4.4816890703380645</v>
      </c>
      <c r="AJ49" s="54">
        <f t="shared" si="27"/>
        <v>2.7182818284590451</v>
      </c>
      <c r="AK49" s="54">
        <f t="shared" si="27"/>
        <v>4.4816890703380645</v>
      </c>
      <c r="AL49" s="54">
        <f t="shared" si="27"/>
        <v>1</v>
      </c>
      <c r="AM49" s="54">
        <f t="shared" si="27"/>
        <v>1.6487212707001282</v>
      </c>
      <c r="AN49" s="54">
        <f t="shared" si="27"/>
        <v>2.7182818284590451</v>
      </c>
      <c r="AO49" s="54">
        <f t="shared" si="27"/>
        <v>1.6487212707001282</v>
      </c>
      <c r="AP49" s="48" t="s">
        <v>31</v>
      </c>
    </row>
    <row r="50" spans="1:42" ht="13">
      <c r="V50" s="3"/>
      <c r="W50" s="3"/>
      <c r="X50" s="3"/>
      <c r="AC50" s="37"/>
      <c r="AD50" s="58" t="s">
        <v>33</v>
      </c>
      <c r="AE50" s="58" t="s">
        <v>33</v>
      </c>
      <c r="AF50" s="58" t="s">
        <v>33</v>
      </c>
      <c r="AG50" s="58" t="s">
        <v>33</v>
      </c>
      <c r="AH50" s="58" t="s">
        <v>33</v>
      </c>
      <c r="AI50" s="58" t="s">
        <v>33</v>
      </c>
      <c r="AJ50" s="58" t="s">
        <v>33</v>
      </c>
      <c r="AK50" s="58" t="s">
        <v>33</v>
      </c>
      <c r="AL50" s="58" t="s">
        <v>33</v>
      </c>
      <c r="AM50" s="58" t="s">
        <v>33</v>
      </c>
      <c r="AN50" s="58" t="s">
        <v>33</v>
      </c>
      <c r="AO50" s="58" t="s">
        <v>33</v>
      </c>
      <c r="AP50" s="48" t="s">
        <v>33</v>
      </c>
    </row>
    <row r="51" spans="1:42" ht="14">
      <c r="V51" s="3"/>
      <c r="W51" s="3"/>
      <c r="X51" s="3"/>
      <c r="AA51" s="29"/>
      <c r="AD51" s="54">
        <f>SUM(AD38:AD49)</f>
        <v>41.090617598367338</v>
      </c>
      <c r="AE51" s="54">
        <f t="shared" ref="AE51:AO51" si="28">SUM(AE38:AE49)</f>
        <v>32.343931441040603</v>
      </c>
      <c r="AF51" s="54">
        <f t="shared" si="28"/>
        <v>32.343931441040603</v>
      </c>
      <c r="AG51" s="54">
        <f t="shared" si="28"/>
        <v>34.943417781892279</v>
      </c>
      <c r="AH51" s="54">
        <f t="shared" si="28"/>
        <v>30.826161649451475</v>
      </c>
      <c r="AI51" s="54">
        <f t="shared" si="28"/>
        <v>20.114457691459478</v>
      </c>
      <c r="AJ51" s="54">
        <f t="shared" si="28"/>
        <v>15.258483808891462</v>
      </c>
      <c r="AK51" s="54">
        <f t="shared" si="28"/>
        <v>36.608563267561735</v>
      </c>
      <c r="AL51" s="54">
        <f t="shared" si="28"/>
        <v>9.0780484243984034</v>
      </c>
      <c r="AM51" s="54">
        <f t="shared" si="28"/>
        <v>19.356261227890283</v>
      </c>
      <c r="AN51" s="54">
        <f t="shared" si="28"/>
        <v>20.4133292942686</v>
      </c>
      <c r="AO51" s="54">
        <f t="shared" si="28"/>
        <v>64.371586638775184</v>
      </c>
      <c r="AP51" s="48" t="s">
        <v>35</v>
      </c>
    </row>
    <row r="52" spans="1:42" ht="13">
      <c r="V52" s="3"/>
      <c r="W52" s="3"/>
      <c r="X52" s="3"/>
    </row>
    <row r="53" spans="1:42" ht="13">
      <c r="V53" s="3"/>
      <c r="W53" s="3"/>
      <c r="X53" s="3"/>
      <c r="Y53" s="3"/>
      <c r="Z53" s="3"/>
      <c r="AA53" s="3"/>
      <c r="AD53" s="48" t="s">
        <v>36</v>
      </c>
    </row>
    <row r="54" spans="1:42" ht="13">
      <c r="V54" s="3"/>
      <c r="W54" s="3"/>
      <c r="X54" s="3"/>
      <c r="Y54" s="3"/>
      <c r="Z54" s="3"/>
      <c r="AA54" s="3"/>
      <c r="AD54" s="3" t="s">
        <v>14</v>
      </c>
      <c r="AE54" s="3" t="s">
        <v>14</v>
      </c>
      <c r="AF54" s="3" t="s">
        <v>14</v>
      </c>
      <c r="AG54" s="3" t="s">
        <v>14</v>
      </c>
      <c r="AH54" s="3" t="s">
        <v>14</v>
      </c>
      <c r="AI54" s="3" t="s">
        <v>14</v>
      </c>
      <c r="AJ54" s="3" t="s">
        <v>14</v>
      </c>
      <c r="AK54" s="3" t="s">
        <v>14</v>
      </c>
      <c r="AL54" s="3" t="s">
        <v>14</v>
      </c>
      <c r="AM54" s="3" t="s">
        <v>14</v>
      </c>
      <c r="AN54" s="3" t="s">
        <v>14</v>
      </c>
      <c r="AO54" s="3" t="s">
        <v>14</v>
      </c>
    </row>
    <row r="55" spans="1:42" ht="13">
      <c r="Y55" s="3"/>
      <c r="Z55" s="3"/>
      <c r="AA55" s="3"/>
      <c r="AD55" s="59">
        <f t="shared" ref="AD55:AO55" si="29">AD38/AD$51</f>
        <v>0.10906842808116217</v>
      </c>
      <c r="AE55" s="59">
        <f t="shared" si="29"/>
        <v>8.4043024683445516E-2</v>
      </c>
      <c r="AF55" s="59">
        <f t="shared" si="29"/>
        <v>8.4043024683445516E-2</v>
      </c>
      <c r="AG55" s="59">
        <f t="shared" si="29"/>
        <v>4.7182599051730355E-2</v>
      </c>
      <c r="AH55" s="59">
        <f t="shared" si="29"/>
        <v>5.3484481443036413E-2</v>
      </c>
      <c r="AI55" s="59">
        <f t="shared" si="29"/>
        <v>0.22280934137443698</v>
      </c>
      <c r="AJ55" s="59">
        <f t="shared" si="29"/>
        <v>0.17814888179617433</v>
      </c>
      <c r="AK55" s="59">
        <f t="shared" si="29"/>
        <v>0.12242187811585652</v>
      </c>
      <c r="AL55" s="59">
        <f t="shared" si="29"/>
        <v>0.1101558345197161</v>
      </c>
      <c r="AM55" s="59">
        <f t="shared" si="29"/>
        <v>8.5177672035366983E-2</v>
      </c>
      <c r="AN55" s="59">
        <f t="shared" si="29"/>
        <v>0.13316210155010091</v>
      </c>
      <c r="AO55" s="59">
        <f t="shared" si="29"/>
        <v>2.5612562262167331E-2</v>
      </c>
      <c r="AP55" s="34" t="s">
        <v>37</v>
      </c>
    </row>
    <row r="56" spans="1:42" ht="13">
      <c r="Y56" s="3"/>
      <c r="Z56" s="3"/>
      <c r="AA56" s="3"/>
      <c r="AD56" s="59">
        <f t="shared" ref="AD56:AO56" si="30">AD39/AD$51</f>
        <v>0.17982343733923925</v>
      </c>
      <c r="AE56" s="59">
        <f t="shared" si="30"/>
        <v>0.22845262680574499</v>
      </c>
      <c r="AF56" s="59">
        <f t="shared" si="30"/>
        <v>0.22845262680574499</v>
      </c>
      <c r="AG56" s="59">
        <f t="shared" si="30"/>
        <v>0.21145773848028307</v>
      </c>
      <c r="AH56" s="59">
        <f t="shared" si="30"/>
        <v>0.23970081591595535</v>
      </c>
      <c r="AI56" s="59">
        <f t="shared" si="30"/>
        <v>4.9715484023444299E-2</v>
      </c>
      <c r="AJ56" s="59">
        <f t="shared" si="30"/>
        <v>6.5537311080493946E-2</v>
      </c>
      <c r="AK56" s="59">
        <f t="shared" si="30"/>
        <v>0.20183955444867119</v>
      </c>
      <c r="AL56" s="59">
        <f t="shared" si="30"/>
        <v>4.0524066844887033E-2</v>
      </c>
      <c r="AM56" s="59">
        <f t="shared" si="30"/>
        <v>0.140434239673429</v>
      </c>
      <c r="AN56" s="59">
        <f t="shared" si="30"/>
        <v>0.13316210155010091</v>
      </c>
      <c r="AO56" s="59">
        <f t="shared" si="30"/>
        <v>0.31202488507699522</v>
      </c>
      <c r="AP56" s="34" t="s">
        <v>38</v>
      </c>
    </row>
    <row r="57" spans="1:42" ht="13">
      <c r="Y57" s="3"/>
      <c r="Z57" s="3"/>
      <c r="AA57" s="3"/>
      <c r="AD57" s="59">
        <f t="shared" ref="AD57:AO57" si="31">AD40/AD$51</f>
        <v>0.17982343733923925</v>
      </c>
      <c r="AE57" s="59">
        <f t="shared" si="31"/>
        <v>0.22845262680574499</v>
      </c>
      <c r="AF57" s="59">
        <f t="shared" si="31"/>
        <v>0.22845262680574499</v>
      </c>
      <c r="AG57" s="59">
        <f t="shared" si="31"/>
        <v>0.21145773848028307</v>
      </c>
      <c r="AH57" s="59">
        <f t="shared" si="31"/>
        <v>0.23970081591595535</v>
      </c>
      <c r="AI57" s="59">
        <f t="shared" si="31"/>
        <v>4.9715484023444299E-2</v>
      </c>
      <c r="AJ57" s="59">
        <f t="shared" si="31"/>
        <v>6.5537311080493946E-2</v>
      </c>
      <c r="AK57" s="59">
        <f t="shared" si="31"/>
        <v>0.20183955444867119</v>
      </c>
      <c r="AL57" s="59">
        <f t="shared" si="31"/>
        <v>4.0524066844887033E-2</v>
      </c>
      <c r="AM57" s="59">
        <f t="shared" si="31"/>
        <v>0.140434239673429</v>
      </c>
      <c r="AN57" s="59">
        <f t="shared" si="31"/>
        <v>0.13316210155010091</v>
      </c>
      <c r="AO57" s="59">
        <f t="shared" si="31"/>
        <v>0.31202488507699522</v>
      </c>
      <c r="AP57" s="34" t="s">
        <v>39</v>
      </c>
    </row>
    <row r="58" spans="1:42" ht="13">
      <c r="Y58" s="3"/>
      <c r="Z58" s="3"/>
      <c r="AD58" s="59">
        <f t="shared" ref="AD58:AO58" si="32">AD41/AD$51</f>
        <v>2.4336455824887217E-2</v>
      </c>
      <c r="AE58" s="59">
        <f t="shared" si="32"/>
        <v>3.0917700954903673E-2</v>
      </c>
      <c r="AF58" s="59">
        <f t="shared" si="32"/>
        <v>3.0917700954903673E-2</v>
      </c>
      <c r="AG58" s="59">
        <f t="shared" si="32"/>
        <v>2.8617692929802683E-2</v>
      </c>
      <c r="AH58" s="59">
        <f t="shared" si="32"/>
        <v>3.2439977814032975E-2</v>
      </c>
      <c r="AI58" s="59">
        <f t="shared" si="32"/>
        <v>4.9715484023444299E-2</v>
      </c>
      <c r="AJ58" s="59">
        <f t="shared" si="32"/>
        <v>6.5537311080493946E-2</v>
      </c>
      <c r="AK58" s="59">
        <f t="shared" si="32"/>
        <v>2.7316013269662622E-2</v>
      </c>
      <c r="AL58" s="59">
        <f t="shared" si="32"/>
        <v>0.1101558345197161</v>
      </c>
      <c r="AM58" s="59">
        <f t="shared" si="32"/>
        <v>5.1662869612397459E-2</v>
      </c>
      <c r="AN58" s="59">
        <f t="shared" si="32"/>
        <v>4.8987599503465977E-2</v>
      </c>
      <c r="AO58" s="59">
        <f t="shared" si="32"/>
        <v>1.553480428580325E-2</v>
      </c>
    </row>
    <row r="59" spans="1:42" ht="13">
      <c r="A59" s="35"/>
      <c r="AD59" s="59">
        <f t="shared" ref="AD59:AO59" si="33">AD42/AD$51</f>
        <v>2.4336455824887217E-2</v>
      </c>
      <c r="AE59" s="59">
        <f t="shared" si="33"/>
        <v>8.4043024683445516E-2</v>
      </c>
      <c r="AF59" s="59">
        <f t="shared" si="33"/>
        <v>8.4043024683445516E-2</v>
      </c>
      <c r="AG59" s="59">
        <f t="shared" si="33"/>
        <v>0.21145773848028307</v>
      </c>
      <c r="AH59" s="59">
        <f t="shared" si="33"/>
        <v>8.8181002207500414E-2</v>
      </c>
      <c r="AI59" s="59">
        <f t="shared" si="33"/>
        <v>4.9715484023444299E-2</v>
      </c>
      <c r="AJ59" s="59">
        <f t="shared" si="33"/>
        <v>6.5537311080493946E-2</v>
      </c>
      <c r="AK59" s="59">
        <f t="shared" si="33"/>
        <v>7.4252622496870049E-2</v>
      </c>
      <c r="AL59" s="59">
        <f t="shared" si="33"/>
        <v>0.1101558345197161</v>
      </c>
      <c r="AM59" s="59">
        <f t="shared" si="33"/>
        <v>5.1662869612397459E-2</v>
      </c>
      <c r="AN59" s="59">
        <f t="shared" si="33"/>
        <v>0.13316210155010091</v>
      </c>
      <c r="AO59" s="59">
        <f t="shared" si="33"/>
        <v>4.222797619876667E-2</v>
      </c>
    </row>
    <row r="60" spans="1:42" ht="13">
      <c r="A60" s="35"/>
      <c r="AD60" s="59">
        <f t="shared" ref="AD60:AO60" si="34">AD43/AD$51</f>
        <v>4.0124032371945589E-2</v>
      </c>
      <c r="AE60" s="59">
        <f t="shared" si="34"/>
        <v>3.0917700954903673E-2</v>
      </c>
      <c r="AF60" s="59">
        <f t="shared" si="34"/>
        <v>3.0917700954903673E-2</v>
      </c>
      <c r="AG60" s="59">
        <f t="shared" si="34"/>
        <v>1.7357508172166785E-2</v>
      </c>
      <c r="AH60" s="59">
        <f t="shared" si="34"/>
        <v>5.3484481443036413E-2</v>
      </c>
      <c r="AI60" s="59">
        <f t="shared" si="34"/>
        <v>1.1093023912007831E-2</v>
      </c>
      <c r="AJ60" s="59">
        <f t="shared" si="34"/>
        <v>2.410982937617109E-2</v>
      </c>
      <c r="AK60" s="59">
        <f t="shared" si="34"/>
        <v>1.656799954916752E-2</v>
      </c>
      <c r="AL60" s="59">
        <f t="shared" si="34"/>
        <v>4.0524066844887033E-2</v>
      </c>
      <c r="AM60" s="59">
        <f t="shared" si="34"/>
        <v>8.5177672035366983E-2</v>
      </c>
      <c r="AN60" s="59">
        <f t="shared" si="34"/>
        <v>1.8021530729665492E-2</v>
      </c>
      <c r="AO60" s="59">
        <f t="shared" si="34"/>
        <v>6.9622162577525348E-2</v>
      </c>
    </row>
    <row r="61" spans="1:42" ht="13">
      <c r="AD61" s="59">
        <f t="shared" ref="AD61:AO61" si="35">AD44/AD$51</f>
        <v>0.17982343733923925</v>
      </c>
      <c r="AE61" s="59">
        <f t="shared" si="35"/>
        <v>8.4043024683445516E-2</v>
      </c>
      <c r="AF61" s="59">
        <f t="shared" si="35"/>
        <v>8.4043024683445516E-2</v>
      </c>
      <c r="AG61" s="59">
        <f t="shared" si="35"/>
        <v>2.8617692929802683E-2</v>
      </c>
      <c r="AH61" s="59">
        <f t="shared" si="35"/>
        <v>8.8181002207500414E-2</v>
      </c>
      <c r="AI61" s="59">
        <f t="shared" si="35"/>
        <v>4.9715484023444299E-2</v>
      </c>
      <c r="AJ61" s="59">
        <f t="shared" si="35"/>
        <v>6.5537311080493946E-2</v>
      </c>
      <c r="AK61" s="59">
        <f t="shared" si="35"/>
        <v>7.4252622496870049E-2</v>
      </c>
      <c r="AL61" s="59">
        <f t="shared" si="35"/>
        <v>4.0524066844887033E-2</v>
      </c>
      <c r="AM61" s="59">
        <f t="shared" si="35"/>
        <v>0.140434239673429</v>
      </c>
      <c r="AN61" s="59">
        <f t="shared" si="35"/>
        <v>4.8987599503465977E-2</v>
      </c>
      <c r="AO61" s="59">
        <f t="shared" si="35"/>
        <v>0.11478754035370851</v>
      </c>
    </row>
    <row r="62" spans="1:42" ht="13">
      <c r="AD62" s="59">
        <f t="shared" ref="AD62:AO62" si="36">AD45/AD$51</f>
        <v>5.4301972856522721E-3</v>
      </c>
      <c r="AE62" s="59">
        <f t="shared" si="36"/>
        <v>3.0917700954903673E-2</v>
      </c>
      <c r="AF62" s="59">
        <f t="shared" si="36"/>
        <v>3.0917700954903673E-2</v>
      </c>
      <c r="AG62" s="59">
        <f t="shared" si="36"/>
        <v>0.12825560162178759</v>
      </c>
      <c r="AH62" s="59">
        <f t="shared" si="36"/>
        <v>5.3484481443036413E-2</v>
      </c>
      <c r="AI62" s="59">
        <f t="shared" si="36"/>
        <v>1.1093023912007831E-2</v>
      </c>
      <c r="AJ62" s="59">
        <f t="shared" si="36"/>
        <v>2.410982937617109E-2</v>
      </c>
      <c r="AK62" s="59">
        <f t="shared" si="36"/>
        <v>1.656799954916752E-2</v>
      </c>
      <c r="AL62" s="59">
        <f t="shared" si="36"/>
        <v>0.1101558345197161</v>
      </c>
      <c r="AM62" s="59">
        <f t="shared" si="36"/>
        <v>3.1335114388655196E-2</v>
      </c>
      <c r="AN62" s="59">
        <f t="shared" si="36"/>
        <v>4.8987599503465977E-2</v>
      </c>
      <c r="AO62" s="59">
        <f t="shared" si="36"/>
        <v>2.5612562262167331E-2</v>
      </c>
    </row>
    <row r="63" spans="1:42" ht="13">
      <c r="AD63" s="59">
        <f t="shared" ref="AD63:AO63" si="37">AD46/AD$51</f>
        <v>2.4336455824887217E-2</v>
      </c>
      <c r="AE63" s="59">
        <f t="shared" si="37"/>
        <v>1.1373986549595733E-2</v>
      </c>
      <c r="AF63" s="59">
        <f t="shared" si="37"/>
        <v>1.1373986549595733E-2</v>
      </c>
      <c r="AG63" s="59">
        <f t="shared" si="37"/>
        <v>3.8729835782332547E-3</v>
      </c>
      <c r="AH63" s="59">
        <f t="shared" si="37"/>
        <v>1.1934000909840439E-2</v>
      </c>
      <c r="AI63" s="59">
        <f t="shared" si="37"/>
        <v>4.9715484023444299E-2</v>
      </c>
      <c r="AJ63" s="59">
        <f t="shared" si="37"/>
        <v>6.5537311080493946E-2</v>
      </c>
      <c r="AK63" s="59">
        <f t="shared" si="37"/>
        <v>1.0048999696675189E-2</v>
      </c>
      <c r="AL63" s="59">
        <f t="shared" si="37"/>
        <v>0.1101558345197161</v>
      </c>
      <c r="AM63" s="59">
        <f t="shared" si="37"/>
        <v>5.1662869612397459E-2</v>
      </c>
      <c r="AN63" s="59">
        <f t="shared" si="37"/>
        <v>1.8021530729665492E-2</v>
      </c>
      <c r="AO63" s="59">
        <f t="shared" si="37"/>
        <v>5.7149351193690268E-3</v>
      </c>
    </row>
    <row r="64" spans="1:42" ht="13">
      <c r="AD64" s="59">
        <f t="shared" ref="AD64:AO64" si="38">AD47/AD$51</f>
        <v>0.10906842808116217</v>
      </c>
      <c r="AE64" s="59">
        <f t="shared" si="38"/>
        <v>8.4043024683445516E-2</v>
      </c>
      <c r="AF64" s="59">
        <f t="shared" si="38"/>
        <v>8.4043024683445516E-2</v>
      </c>
      <c r="AG64" s="59">
        <f t="shared" si="38"/>
        <v>4.7182599051730355E-2</v>
      </c>
      <c r="AH64" s="59">
        <f t="shared" si="38"/>
        <v>5.3484481443036413E-2</v>
      </c>
      <c r="AI64" s="59">
        <f t="shared" si="38"/>
        <v>0.22280934137443698</v>
      </c>
      <c r="AJ64" s="59">
        <f t="shared" si="38"/>
        <v>0.17814888179617433</v>
      </c>
      <c r="AK64" s="59">
        <f t="shared" si="38"/>
        <v>0.12242187811585652</v>
      </c>
      <c r="AL64" s="59">
        <f t="shared" si="38"/>
        <v>0.1101558345197161</v>
      </c>
      <c r="AM64" s="59">
        <f t="shared" si="38"/>
        <v>8.5177672035366983E-2</v>
      </c>
      <c r="AN64" s="59">
        <f t="shared" si="38"/>
        <v>0.13316210155010091</v>
      </c>
      <c r="AO64" s="59">
        <f t="shared" si="38"/>
        <v>2.5612562262167331E-2</v>
      </c>
    </row>
    <row r="65" spans="3:42" ht="13">
      <c r="AD65" s="59">
        <f t="shared" ref="AD65:AO65" si="39">AD48/AD$51</f>
        <v>1.4760806606536205E-2</v>
      </c>
      <c r="AE65" s="59">
        <f t="shared" si="39"/>
        <v>1.8752533556975641E-2</v>
      </c>
      <c r="AF65" s="59">
        <f t="shared" si="39"/>
        <v>1.8752533556975641E-2</v>
      </c>
      <c r="AG65" s="59">
        <f t="shared" si="39"/>
        <v>1.7357508172166785E-2</v>
      </c>
      <c r="AH65" s="59">
        <f t="shared" si="39"/>
        <v>3.2439977814032975E-2</v>
      </c>
      <c r="AI65" s="59">
        <f t="shared" si="39"/>
        <v>1.1093023912007831E-2</v>
      </c>
      <c r="AJ65" s="59">
        <f t="shared" si="39"/>
        <v>2.410982937617109E-2</v>
      </c>
      <c r="AK65" s="59">
        <f t="shared" si="39"/>
        <v>1.0048999696675189E-2</v>
      </c>
      <c r="AL65" s="59">
        <f t="shared" si="39"/>
        <v>6.6812890982439088E-2</v>
      </c>
      <c r="AM65" s="59">
        <f t="shared" si="39"/>
        <v>5.1662869612397459E-2</v>
      </c>
      <c r="AN65" s="59">
        <f t="shared" si="39"/>
        <v>1.8021530729665492E-2</v>
      </c>
      <c r="AO65" s="59">
        <f t="shared" si="39"/>
        <v>2.5612562262167331E-2</v>
      </c>
    </row>
    <row r="66" spans="3:42" ht="13">
      <c r="AD66" s="59">
        <f t="shared" ref="AD66:AO66" si="40">AD49/AD$51</f>
        <v>0.10906842808116217</v>
      </c>
      <c r="AE66" s="59">
        <f t="shared" si="40"/>
        <v>8.4043024683445516E-2</v>
      </c>
      <c r="AF66" s="59">
        <f t="shared" si="40"/>
        <v>8.4043024683445516E-2</v>
      </c>
      <c r="AG66" s="59">
        <f t="shared" si="40"/>
        <v>4.7182599051730355E-2</v>
      </c>
      <c r="AH66" s="59">
        <f t="shared" si="40"/>
        <v>5.3484481443036413E-2</v>
      </c>
      <c r="AI66" s="59">
        <f t="shared" si="40"/>
        <v>0.22280934137443698</v>
      </c>
      <c r="AJ66" s="59">
        <f t="shared" si="40"/>
        <v>0.17814888179617433</v>
      </c>
      <c r="AK66" s="59">
        <f t="shared" si="40"/>
        <v>0.12242187811585652</v>
      </c>
      <c r="AL66" s="59">
        <f t="shared" si="40"/>
        <v>0.1101558345197161</v>
      </c>
      <c r="AM66" s="59">
        <f t="shared" si="40"/>
        <v>8.5177672035366983E-2</v>
      </c>
      <c r="AN66" s="59">
        <f t="shared" si="40"/>
        <v>0.13316210155010091</v>
      </c>
      <c r="AO66" s="59">
        <f t="shared" si="40"/>
        <v>2.5612562262167331E-2</v>
      </c>
    </row>
    <row r="67" spans="3:42" ht="13">
      <c r="AD67" s="3" t="s">
        <v>14</v>
      </c>
      <c r="AE67" s="3" t="s">
        <v>14</v>
      </c>
      <c r="AF67" s="3" t="s">
        <v>14</v>
      </c>
      <c r="AG67" s="3" t="s">
        <v>14</v>
      </c>
      <c r="AH67" s="3" t="s">
        <v>14</v>
      </c>
      <c r="AI67" s="3" t="s">
        <v>14</v>
      </c>
      <c r="AJ67" s="3" t="s">
        <v>14</v>
      </c>
      <c r="AK67" s="3" t="s">
        <v>14</v>
      </c>
      <c r="AL67" s="3" t="s">
        <v>14</v>
      </c>
      <c r="AM67" s="3" t="s">
        <v>14</v>
      </c>
      <c r="AN67" s="3" t="s">
        <v>14</v>
      </c>
      <c r="AO67" s="3" t="s">
        <v>14</v>
      </c>
    </row>
    <row r="68" spans="3:42" ht="13">
      <c r="C68" s="3"/>
      <c r="D68" s="3"/>
      <c r="E68" s="3"/>
      <c r="F68" s="3"/>
      <c r="G68" s="3"/>
      <c r="H68" s="3"/>
      <c r="I68" s="3"/>
      <c r="J68" s="13" t="s">
        <v>40</v>
      </c>
      <c r="K68" s="49" t="s">
        <v>41</v>
      </c>
      <c r="L68" s="49"/>
      <c r="M68" s="49"/>
      <c r="N68" s="49"/>
      <c r="O68" s="49"/>
      <c r="P68" s="49"/>
      <c r="Q68" s="49"/>
      <c r="R68" s="49"/>
      <c r="S68" s="49"/>
      <c r="Y68" s="10" t="s">
        <v>42</v>
      </c>
      <c r="Z68" s="12"/>
      <c r="AA68" s="12"/>
      <c r="AB68" s="12"/>
      <c r="AD68" s="48" t="s">
        <v>43</v>
      </c>
    </row>
    <row r="69" spans="3:42" ht="14" thickBot="1">
      <c r="C69" s="1" t="s">
        <v>44</v>
      </c>
      <c r="D69" s="3"/>
      <c r="E69" s="3"/>
      <c r="F69" s="3"/>
      <c r="G69" s="3"/>
      <c r="H69" s="3"/>
      <c r="I69" s="3"/>
      <c r="J69" s="4" t="s">
        <v>45</v>
      </c>
      <c r="K69" s="4" t="s">
        <v>46</v>
      </c>
      <c r="L69" s="4" t="s">
        <v>47</v>
      </c>
      <c r="M69" s="4" t="s">
        <v>48</v>
      </c>
      <c r="N69" s="4" t="s">
        <v>93</v>
      </c>
      <c r="O69" s="4" t="s">
        <v>94</v>
      </c>
      <c r="P69" s="4" t="s">
        <v>95</v>
      </c>
      <c r="Q69" s="4" t="s">
        <v>96</v>
      </c>
      <c r="R69" s="4" t="s">
        <v>108</v>
      </c>
      <c r="S69" s="4" t="s">
        <v>109</v>
      </c>
      <c r="T69" s="4" t="s">
        <v>110</v>
      </c>
      <c r="U69" s="4" t="s">
        <v>111</v>
      </c>
      <c r="AD69" s="4" t="s">
        <v>49</v>
      </c>
      <c r="AE69" s="4" t="s">
        <v>50</v>
      </c>
      <c r="AF69" s="4" t="s">
        <v>51</v>
      </c>
      <c r="AG69" s="4" t="s">
        <v>52</v>
      </c>
      <c r="AH69" s="4" t="s">
        <v>97</v>
      </c>
      <c r="AI69" s="4" t="s">
        <v>81</v>
      </c>
      <c r="AJ69" s="4" t="s">
        <v>98</v>
      </c>
      <c r="AK69" s="4" t="s">
        <v>99</v>
      </c>
      <c r="AL69" s="4" t="s">
        <v>112</v>
      </c>
      <c r="AM69" s="4" t="s">
        <v>113</v>
      </c>
      <c r="AN69" s="4" t="s">
        <v>114</v>
      </c>
      <c r="AO69" s="4" t="s">
        <v>115</v>
      </c>
    </row>
    <row r="70" spans="3:42" ht="13">
      <c r="C70" s="15">
        <v>10</v>
      </c>
      <c r="D70" s="16">
        <v>0</v>
      </c>
      <c r="E70" s="16">
        <v>0</v>
      </c>
      <c r="F70" s="16">
        <v>0</v>
      </c>
      <c r="G70" s="16">
        <v>0</v>
      </c>
      <c r="H70" s="17">
        <v>0</v>
      </c>
      <c r="I70" s="3" t="s">
        <v>16</v>
      </c>
      <c r="J70" s="44" cm="1">
        <f t="array" ref="J70">MMULT($C70:$H70,J$5:J$10)</f>
        <v>20</v>
      </c>
      <c r="K70" s="44" cm="1">
        <f t="array" ref="K70">MMULT($C70:$H70,K$5:K$10)</f>
        <v>0</v>
      </c>
      <c r="L70" s="44" cm="1">
        <f t="array" ref="L70">MMULT($C70:$H70,L$5:L$10)</f>
        <v>0</v>
      </c>
      <c r="M70" s="44" cm="1">
        <f t="array" ref="M70">MMULT($C70:$H70,M$5:M$10)</f>
        <v>0</v>
      </c>
      <c r="N70" s="44" cm="1">
        <f t="array" ref="N70">MMULT($C70:$H70,N$5:N$10)</f>
        <v>0</v>
      </c>
      <c r="O70" s="44" cm="1">
        <f t="array" ref="O70">MMULT($C70:$H70,O$5:O$10)</f>
        <v>0</v>
      </c>
      <c r="P70" s="44" cm="1">
        <f t="array" ref="P70">MMULT($C70:$H70,P$5:P$10)</f>
        <v>0</v>
      </c>
      <c r="Q70" s="44" cm="1">
        <f t="array" ref="Q70">MMULT($C70:$H70,Q$5:Q$10)</f>
        <v>0</v>
      </c>
      <c r="R70" s="44" cm="1">
        <f t="array" ref="R70">MMULT($C70:$H70,R$5:R$10)</f>
        <v>0</v>
      </c>
      <c r="S70" s="44" cm="1">
        <f t="array" ref="S70">MMULT($C70:$H70,S$5:S$10)</f>
        <v>10</v>
      </c>
      <c r="T70" s="44" cm="1">
        <f t="array" ref="T70">MMULT($C70:$H70,T$5:T$10)</f>
        <v>0</v>
      </c>
      <c r="U70" s="44" cm="1">
        <f t="array" ref="U70">MMULT($C70:$H70,U$5:U$10)</f>
        <v>20</v>
      </c>
      <c r="AC70" s="3" t="s">
        <v>16</v>
      </c>
      <c r="AD70" s="60" cm="1">
        <f t="array" ref="AD70">MMULT($J70:$U70,AD$55:AD$66)</f>
        <v>5.4534214040581084</v>
      </c>
      <c r="AE70" s="60" cm="1">
        <f t="array" ref="AE70">MMULT($J70:$U70,AE$55:AE$66)</f>
        <v>4.2021512341722751</v>
      </c>
      <c r="AF70" s="60" cm="1">
        <f t="array" ref="AF70">MMULT($J70:$U70,AF$55:AF$66)</f>
        <v>4.2021512341722751</v>
      </c>
      <c r="AG70" s="60" cm="1">
        <f t="array" ref="AG70">MMULT($J70:$U70,AG$55:AG$66)</f>
        <v>2.3591299525865175</v>
      </c>
      <c r="AH70" s="60" cm="1">
        <f t="array" ref="AH70">MMULT($J70:$U70,AH$55:AH$66)</f>
        <v>2.6742240721518207</v>
      </c>
      <c r="AI70" s="60" cm="1">
        <f t="array" ref="AI70">MMULT($J70:$U70,AI$55:AI$66)</f>
        <v>11.140467068721849</v>
      </c>
      <c r="AJ70" s="60" cm="1">
        <f t="array" ref="AJ70">MMULT($J70:$U70,AJ$55:AJ$66)</f>
        <v>8.9074440898087168</v>
      </c>
      <c r="AK70" s="60" cm="1">
        <f t="array" ref="AK70">MMULT($J70:$U70,AK$55:AK$66)</f>
        <v>6.1210939057928258</v>
      </c>
      <c r="AL70" s="60" cm="1">
        <f t="array" ref="AL70">MMULT($J70:$U70,AL$55:AL$66)</f>
        <v>5.507791725985804</v>
      </c>
      <c r="AM70" s="60" cm="1">
        <f t="array" ref="AM70">MMULT($J70:$U70,AM$55:AM$66)</f>
        <v>4.2588836017683489</v>
      </c>
      <c r="AN70" s="60" cm="1">
        <f t="array" ref="AN70">MMULT($J70:$U70,AN$55:AN$66)</f>
        <v>6.658105077505045</v>
      </c>
      <c r="AO70" s="60" cm="1">
        <f t="array" ref="AO70">MMULT($J70:$U70,AO$55:AO$66)</f>
        <v>1.2806281131083668</v>
      </c>
      <c r="AP70" s="4" t="s">
        <v>37</v>
      </c>
    </row>
    <row r="71" spans="3:42" ht="13">
      <c r="C71" s="18">
        <v>0</v>
      </c>
      <c r="D71" s="19">
        <v>10</v>
      </c>
      <c r="E71" s="19">
        <v>0</v>
      </c>
      <c r="F71" s="19">
        <v>10</v>
      </c>
      <c r="G71" s="19">
        <v>5</v>
      </c>
      <c r="H71" s="20">
        <v>5</v>
      </c>
      <c r="I71" s="3" t="s">
        <v>16</v>
      </c>
      <c r="J71" s="44" cm="1">
        <f t="array" ref="J71">MMULT($C71:$H71,J$5:J$10)</f>
        <v>15</v>
      </c>
      <c r="K71" s="44" cm="1">
        <f t="array" ref="K71">MMULT($C71:$H71,K$5:K$10)</f>
        <v>10</v>
      </c>
      <c r="L71" s="44" cm="1">
        <f t="array" ref="L71">MMULT($C71:$H71,L$5:L$10)</f>
        <v>10</v>
      </c>
      <c r="M71" s="44" cm="1">
        <f t="array" ref="M71">MMULT($C71:$H71,M$5:M$10)</f>
        <v>25</v>
      </c>
      <c r="N71" s="44" cm="1">
        <f t="array" ref="N71">MMULT($C71:$H71,N$5:N$10)</f>
        <v>15</v>
      </c>
      <c r="O71" s="44" cm="1">
        <f t="array" ref="O71">MMULT($C71:$H71,O$5:O$10)</f>
        <v>5</v>
      </c>
      <c r="P71" s="44" cm="1">
        <f t="array" ref="P71">MMULT($C71:$H71,P$5:P$10)</f>
        <v>0</v>
      </c>
      <c r="Q71" s="44" cm="1">
        <f t="array" ref="Q71">MMULT($C71:$H71,Q$5:Q$10)</f>
        <v>25</v>
      </c>
      <c r="R71" s="44" cm="1">
        <f t="array" ref="R71">MMULT($C71:$H71,R$5:R$10)</f>
        <v>0</v>
      </c>
      <c r="S71" s="44" cm="1">
        <f t="array" ref="S71">MMULT($C71:$H71,S$5:S$10)</f>
        <v>5</v>
      </c>
      <c r="T71" s="44" cm="1">
        <f t="array" ref="T71">MMULT($C71:$H71,T$5:T$10)</f>
        <v>15</v>
      </c>
      <c r="U71" s="44" cm="1">
        <f t="array" ref="U71">MMULT($C71:$H71,U$5:U$10)</f>
        <v>15</v>
      </c>
      <c r="AC71" s="3" t="s">
        <v>16</v>
      </c>
      <c r="AD71" s="60" cm="1">
        <f t="array" ref="AD71">MMULT($J71:$U71,AD$55:AD$66)</f>
        <v>8.9451091557200275</v>
      </c>
      <c r="AE71" s="60" cm="1">
        <f t="array" ref="AE71">MMULT($J71:$U71,AE$55:AE$66)</f>
        <v>10.752965326161512</v>
      </c>
      <c r="AF71" s="60" cm="1">
        <f t="array" ref="AF71">MMULT($J71:$U71,AF$55:AF$66)</f>
        <v>10.752965326161512</v>
      </c>
      <c r="AG71" s="60" cm="1">
        <f t="array" ref="AG71">MMULT($J71:$U71,AG$55:AG$66)</f>
        <v>13.321394340853564</v>
      </c>
      <c r="AH71" s="60" cm="1">
        <f t="array" ref="AH71">MMULT($J71:$U71,AH$55:AH$66)</f>
        <v>10.890821757790301</v>
      </c>
      <c r="AI71" s="60" cm="1">
        <f t="array" ref="AI71">MMULT($J71:$U71,AI$55:AI$66)</f>
        <v>11.280442065552304</v>
      </c>
      <c r="AJ71" s="60" cm="1">
        <f t="array" ref="AJ71">MMULT($J71:$U71,AJ$55:AJ$66)</f>
        <v>11.252391849623436</v>
      </c>
      <c r="AK71" s="60" cm="1">
        <f t="array" ref="AK71">MMULT($J71:$U71,AK$55:AK$66)</f>
        <v>10.766021474148172</v>
      </c>
      <c r="AL71" s="60" cm="1">
        <f t="array" ref="AL71">MMULT($J71:$U71,AL$55:AL$66)</f>
        <v>13.030878487830373</v>
      </c>
      <c r="AM71" s="60" cm="1">
        <f t="array" ref="AM71">MMULT($J71:$U71,AM$55:AM$66)</f>
        <v>9.8406273632814987</v>
      </c>
      <c r="AN71" s="60" cm="1">
        <f t="array" ref="AN71">MMULT($J71:$U71,AN$55:AN$66)</f>
        <v>12.131157698273672</v>
      </c>
      <c r="AO71" s="60" cm="1">
        <f t="array" ref="AO71">MMULT($J71:$U71,AO$55:AO$66)</f>
        <v>9.531340434216661</v>
      </c>
      <c r="AP71" s="4" t="s">
        <v>54</v>
      </c>
    </row>
    <row r="72" spans="3:42" ht="13">
      <c r="C72" s="18">
        <v>0</v>
      </c>
      <c r="D72" s="19">
        <v>10</v>
      </c>
      <c r="E72" s="19">
        <v>5</v>
      </c>
      <c r="F72" s="19">
        <v>10</v>
      </c>
      <c r="G72" s="19">
        <v>0</v>
      </c>
      <c r="H72" s="20">
        <v>0</v>
      </c>
      <c r="I72" s="3" t="s">
        <v>16</v>
      </c>
      <c r="J72" s="44" cm="1">
        <f t="array" ref="J72">MMULT($C72:$H72,J$5:J$10)</f>
        <v>0</v>
      </c>
      <c r="K72" s="44" cm="1">
        <f t="array" ref="K72">MMULT($C72:$H72,K$5:K$10)</f>
        <v>20</v>
      </c>
      <c r="L72" s="44" cm="1">
        <f t="array" ref="L72">MMULT($C72:$H72,L$5:L$10)</f>
        <v>20</v>
      </c>
      <c r="M72" s="44" cm="1">
        <f t="array" ref="M72">MMULT($C72:$H72,M$5:M$10)</f>
        <v>20</v>
      </c>
      <c r="N72" s="44" cm="1">
        <f t="array" ref="N72">MMULT($C72:$H72,N$5:N$10)</f>
        <v>10</v>
      </c>
      <c r="O72" s="44" cm="1">
        <f t="array" ref="O72">MMULT($C72:$H72,O$5:O$10)</f>
        <v>10</v>
      </c>
      <c r="P72" s="44" cm="1">
        <f t="array" ref="P72">MMULT($C72:$H72,P$5:P$10)</f>
        <v>10</v>
      </c>
      <c r="Q72" s="44" cm="1">
        <f t="array" ref="Q72">MMULT($C72:$H72,Q$5:Q$10)</f>
        <v>10</v>
      </c>
      <c r="R72" s="44" cm="1">
        <f t="array" ref="R72">MMULT($C72:$H72,R$5:R$10)</f>
        <v>0</v>
      </c>
      <c r="S72" s="44" cm="1">
        <f t="array" ref="S72">MMULT($C72:$H72,S$5:S$10)</f>
        <v>0</v>
      </c>
      <c r="T72" s="44" cm="1">
        <f t="array" ref="T72">MMULT($C72:$H72,T$5:T$10)</f>
        <v>15</v>
      </c>
      <c r="U72" s="44" cm="1">
        <f t="array" ref="U72">MMULT($C72:$H72,U$5:U$10)</f>
        <v>10</v>
      </c>
      <c r="AC72" s="3" t="s">
        <v>16</v>
      </c>
      <c r="AD72" s="60" cm="1">
        <f t="array" ref="AD72">MMULT($J72:$U72,AD$55:AD$66)</f>
        <v>11.488904218194223</v>
      </c>
      <c r="AE72" s="60" cm="1">
        <f t="array" ref="AE72">MMULT($J72:$U72,AE$55:AE$66)</f>
        <v>13.177391854283945</v>
      </c>
      <c r="AF72" s="60" cm="1">
        <f t="array" ref="AF72">MMULT($J72:$U72,AF$55:AF$66)</f>
        <v>13.177391854283945</v>
      </c>
      <c r="AG72" s="60" cm="1">
        <f t="array" ref="AG72">MMULT($J72:$U72,AG$55:AG$66)</f>
        <v>13.619737422947582</v>
      </c>
      <c r="AH72" s="60" cm="1">
        <f t="array" ref="AH72">MMULT($J72:$U72,AH$55:AH$66)</f>
        <v>14.091586347570471</v>
      </c>
      <c r="AI72" s="60" cm="1">
        <f t="array" ref="AI72">MMULT($J72:$U72,AI$55:AI$66)</f>
        <v>6.5935879725401874</v>
      </c>
      <c r="AJ72" s="60" cm="1">
        <f t="array" ref="AJ72">MMULT($J72:$U72,AJ$55:AJ$66)</f>
        <v>7.8683177325672471</v>
      </c>
      <c r="AK72" s="60" cm="1">
        <f t="array" ref="AK72">MMULT($J72:$U72,AK$55:AK$66)</f>
        <v>11.811268660869546</v>
      </c>
      <c r="AL72" s="60" cm="1">
        <f t="array" ref="AL72">MMULT($J72:$U72,AL$55:AL$66)</f>
        <v>8.9414291014156113</v>
      </c>
      <c r="AM72" s="60" cm="1">
        <f t="array" ref="AM72">MMULT($J72:$U72,AM$55:AM$66)</f>
        <v>11.363445700823226</v>
      </c>
      <c r="AN72" s="60" cm="1">
        <f t="array" ref="AN72">MMULT($J72:$U72,AN$55:AN$66)</f>
        <v>10.399768341386331</v>
      </c>
      <c r="AO72" s="60" cm="1">
        <f t="array" ref="AO72">MMULT($J72:$U72,AO$55:AO$66)</f>
        <v>15.954507959271739</v>
      </c>
      <c r="AP72" s="4" t="s">
        <v>55</v>
      </c>
    </row>
    <row r="73" spans="3:42" ht="13">
      <c r="C73" s="18">
        <v>0</v>
      </c>
      <c r="D73" s="19">
        <v>0</v>
      </c>
      <c r="E73" s="19">
        <v>10</v>
      </c>
      <c r="F73" s="19">
        <v>10</v>
      </c>
      <c r="G73" s="19">
        <v>-5</v>
      </c>
      <c r="H73" s="20">
        <v>0</v>
      </c>
      <c r="I73" s="3" t="s">
        <v>16</v>
      </c>
      <c r="J73" s="44" cm="1">
        <f t="array" ref="J73">MMULT($C73:$H73,J$5:J$10)</f>
        <v>-10</v>
      </c>
      <c r="K73" s="44" cm="1">
        <f t="array" ref="K73">MMULT($C73:$H73,K$5:K$10)</f>
        <v>20</v>
      </c>
      <c r="L73" s="44" cm="1">
        <f t="array" ref="L73">MMULT($C73:$H73,L$5:L$10)</f>
        <v>20</v>
      </c>
      <c r="M73" s="44" cm="1">
        <f t="array" ref="M73">MMULT($C73:$H73,M$5:M$10)</f>
        <v>15</v>
      </c>
      <c r="N73" s="44" cm="1">
        <f t="array" ref="N73">MMULT($C73:$H73,N$5:N$10)</f>
        <v>-5</v>
      </c>
      <c r="O73" s="44" cm="1">
        <f t="array" ref="O73">MMULT($C73:$H73,O$5:O$10)</f>
        <v>20</v>
      </c>
      <c r="P73" s="44" cm="1">
        <f t="array" ref="P73">MMULT($C73:$H73,P$5:P$10)</f>
        <v>20</v>
      </c>
      <c r="Q73" s="44" cm="1">
        <f t="array" ref="Q73">MMULT($C73:$H73,Q$5:Q$10)</f>
        <v>-10</v>
      </c>
      <c r="R73" s="44" cm="1">
        <f t="array" ref="R73">MMULT($C73:$H73,R$5:R$10)</f>
        <v>10</v>
      </c>
      <c r="S73" s="44" cm="1">
        <f t="array" ref="S73">MMULT($C73:$H73,S$5:S$10)</f>
        <v>-5</v>
      </c>
      <c r="T73" s="44" cm="1">
        <f t="array" ref="T73">MMULT($C73:$H73,T$5:T$10)</f>
        <v>20</v>
      </c>
      <c r="U73" s="44" cm="1">
        <f t="array" ref="U73">MMULT($C73:$H73,U$5:U$10)</f>
        <v>10</v>
      </c>
      <c r="AC73" s="3" t="s">
        <v>16</v>
      </c>
      <c r="AD73" s="60" cm="1">
        <f t="array" ref="AD73">MMULT($J73:$U73,AD$55:AD$66)</f>
        <v>11.774188023159402</v>
      </c>
      <c r="AE73" s="60" cm="1">
        <f t="array" ref="AE73">MMULT($J73:$U73,AE$55:AE$66)</f>
        <v>11.240268379572317</v>
      </c>
      <c r="AF73" s="60" cm="1">
        <f t="array" ref="AF73">MMULT($J73:$U73,AF$55:AF$66)</f>
        <v>11.240268379572317</v>
      </c>
      <c r="AG73" s="60" cm="1">
        <f t="array" ref="AG73">MMULT($J73:$U73,AG$55:AG$66)</f>
        <v>7.6172012505454774</v>
      </c>
      <c r="AH73" s="60" cm="1">
        <f t="array" ref="AH73">MMULT($J73:$U73,AH$55:AH$66)</f>
        <v>12.432909309555459</v>
      </c>
      <c r="AI73" s="60" cm="1">
        <f t="array" ref="AI73">MMULT($J73:$U73,AI$55:AI$66)</f>
        <v>3.1959827323635941</v>
      </c>
      <c r="AJ73" s="60" cm="1">
        <f t="array" ref="AJ73">MMULT($J73:$U73,AJ$55:AJ$66)</f>
        <v>5.0755353587437764</v>
      </c>
      <c r="AK73" s="60" cm="1">
        <f t="array" ref="AK73">MMULT($J73:$U73,AK$55:AK$66)</f>
        <v>9.4521523102574854</v>
      </c>
      <c r="AL73" s="60" cm="1">
        <f t="array" ref="AL73">MMULT($J73:$U73,AL$55:AL$66)</f>
        <v>5.1289623398383242</v>
      </c>
      <c r="AM73" s="60" cm="1">
        <f t="array" ref="AM73">MMULT($J73:$U73,AM$55:AM$66)</f>
        <v>11.456883101545591</v>
      </c>
      <c r="AN73" s="60" cm="1">
        <f t="array" ref="AN73">MMULT($J73:$U73,AN$55:AN$66)</f>
        <v>6.1206295705729516</v>
      </c>
      <c r="AO73" s="60" cm="1">
        <f t="array" ref="AO73">MMULT($J73:$U73,AO$55:AO$66)</f>
        <v>16.376283807502229</v>
      </c>
    </row>
    <row r="74" spans="3:42" ht="13">
      <c r="C74" s="18">
        <v>0</v>
      </c>
      <c r="D74" s="19">
        <v>0</v>
      </c>
      <c r="E74" s="19">
        <v>0</v>
      </c>
      <c r="F74" s="19">
        <v>5</v>
      </c>
      <c r="G74" s="19">
        <v>0</v>
      </c>
      <c r="H74" s="20">
        <v>2</v>
      </c>
      <c r="I74" s="3" t="s">
        <v>16</v>
      </c>
      <c r="J74" s="44" cm="1">
        <f t="array" ref="J74">MMULT($C74:$H74,J$5:J$10)</f>
        <v>2</v>
      </c>
      <c r="K74" s="44" cm="1">
        <f t="array" ref="K74">MMULT($C74:$H74,K$5:K$10)</f>
        <v>0</v>
      </c>
      <c r="L74" s="44" cm="1">
        <f t="array" ref="L74">MMULT($C74:$H74,L$5:L$10)</f>
        <v>0</v>
      </c>
      <c r="M74" s="44" cm="1">
        <f t="array" ref="M74">MMULT($C74:$H74,M$5:M$10)</f>
        <v>10</v>
      </c>
      <c r="N74" s="44" cm="1">
        <f t="array" ref="N74">MMULT($C74:$H74,N$5:N$10)</f>
        <v>0</v>
      </c>
      <c r="O74" s="44" cm="1">
        <f t="array" ref="O74">MMULT($C74:$H74,O$5:O$10)</f>
        <v>2</v>
      </c>
      <c r="P74" s="44" cm="1">
        <f t="array" ref="P74">MMULT($C74:$H74,P$5:P$10)</f>
        <v>0</v>
      </c>
      <c r="Q74" s="44" cm="1">
        <f t="array" ref="Q74">MMULT($C74:$H74,Q$5:Q$10)</f>
        <v>2</v>
      </c>
      <c r="R74" s="44" cm="1">
        <f t="array" ref="R74">MMULT($C74:$H74,R$5:R$10)</f>
        <v>5</v>
      </c>
      <c r="S74" s="44" cm="1">
        <f t="array" ref="S74">MMULT($C74:$H74,S$5:S$10)</f>
        <v>0</v>
      </c>
      <c r="T74" s="44" cm="1">
        <f t="array" ref="T74">MMULT($C74:$H74,T$5:T$10)</f>
        <v>7</v>
      </c>
      <c r="U74" s="44" cm="1">
        <f t="array" ref="U74">MMULT($C74:$H74,U$5:U$10)</f>
        <v>7</v>
      </c>
      <c r="AC74" s="3" t="s">
        <v>16</v>
      </c>
      <c r="AD74" s="60" cm="1">
        <f t="array" ref="AD74">MMULT($J74:$U74,AD$55:AD$66)</f>
        <v>1.5410967956647168</v>
      </c>
      <c r="AE74" s="60" cm="1">
        <f t="array" ref="AE74">MMULT($J74:$U74,AE$55:AE$66)</f>
        <v>1.3773727031664693</v>
      </c>
      <c r="AF74" s="60" cm="1">
        <f t="array" ref="AF74">MMULT($J74:$U74,AF$55:AF$66)</f>
        <v>1.3773727031664693</v>
      </c>
      <c r="AG74" s="60" cm="1">
        <f t="array" ref="AG74">MMULT($J74:$U74,AG$55:AG$66)</f>
        <v>1.1429140154478423</v>
      </c>
      <c r="AH74" s="60" cm="1">
        <f t="array" ref="AH74">MMULT($J74:$U74,AH$55:AH$66)</f>
        <v>1.3064478861472362</v>
      </c>
      <c r="AI74" s="60" cm="1">
        <f t="array" ref="AI74">MMULT($J74:$U74,AI$55:AI$66)</f>
        <v>2.8730395957536832</v>
      </c>
      <c r="AJ74" s="60" cm="1">
        <f t="array" ref="AJ74">MMULT($J74:$U74,AJ$55:AJ$66)</f>
        <v>2.8516077255108598</v>
      </c>
      <c r="AK74" s="60" cm="1">
        <f t="array" ref="AK74">MMULT($J74:$U74,AK$55:AK$66)</f>
        <v>1.5618170302961074</v>
      </c>
      <c r="AL74" s="60" cm="1">
        <f t="array" ref="AL74">MMULT($J74:$U74,AL$55:AL$66)</f>
        <v>3.4127900680794663</v>
      </c>
      <c r="AM74" s="60" cm="1">
        <f t="array" ref="AM74">MMULT($J74:$U74,AM$55:AM$66)</f>
        <v>2.1362077526390912</v>
      </c>
      <c r="AN74" s="60" cm="1">
        <f t="array" ref="AN74">MMULT($J74:$U74,AN$55:AN$66)</f>
        <v>2.0386115382078169</v>
      </c>
      <c r="AO74" s="60" cm="1">
        <f t="array" ref="AO74">MMULT($J74:$U74,AO$55:AO$66)</f>
        <v>0.78419316432894037</v>
      </c>
    </row>
    <row r="75" spans="3:42" ht="14" thickBot="1">
      <c r="C75" s="22">
        <v>0</v>
      </c>
      <c r="D75" s="23">
        <v>10</v>
      </c>
      <c r="E75" s="23">
        <v>0</v>
      </c>
      <c r="F75" s="23">
        <v>0</v>
      </c>
      <c r="G75" s="23">
        <v>0</v>
      </c>
      <c r="H75" s="24">
        <v>1</v>
      </c>
      <c r="I75" s="3" t="s">
        <v>16</v>
      </c>
      <c r="J75" s="44" cm="1">
        <f t="array" ref="J75">MMULT($C75:$H75,J$5:J$10)</f>
        <v>1</v>
      </c>
      <c r="K75" s="44" cm="1">
        <f t="array" ref="K75">MMULT($C75:$H75,K$5:K$10)</f>
        <v>10</v>
      </c>
      <c r="L75" s="44" cm="1">
        <f t="array" ref="L75">MMULT($C75:$H75,L$5:L$10)</f>
        <v>10</v>
      </c>
      <c r="M75" s="44" cm="1">
        <f t="array" ref="M75">MMULT($C75:$H75,M$5:M$10)</f>
        <v>0</v>
      </c>
      <c r="N75" s="44" cm="1">
        <f t="array" ref="N75">MMULT($C75:$H75,N$5:N$10)</f>
        <v>10</v>
      </c>
      <c r="O75" s="44" cm="1">
        <f t="array" ref="O75">MMULT($C75:$H75,O$5:O$10)</f>
        <v>1</v>
      </c>
      <c r="P75" s="44" cm="1">
        <f t="array" ref="P75">MMULT($C75:$H75,P$5:P$10)</f>
        <v>0</v>
      </c>
      <c r="Q75" s="44" cm="1">
        <f t="array" ref="Q75">MMULT($C75:$H75,Q$5:Q$10)</f>
        <v>11</v>
      </c>
      <c r="R75" s="44" cm="1">
        <f t="array" ref="R75">MMULT($C75:$H75,R$5:R$10)</f>
        <v>-10</v>
      </c>
      <c r="S75" s="44" cm="1">
        <f t="array" ref="S75">MMULT($C75:$H75,S$5:S$10)</f>
        <v>0</v>
      </c>
      <c r="T75" s="44" cm="1">
        <f t="array" ref="T75">MMULT($C75:$H75,T$5:T$10)</f>
        <v>1</v>
      </c>
      <c r="U75" s="44" cm="1">
        <f t="array" ref="U75">MMULT($C75:$H75,U$5:U$10)</f>
        <v>1</v>
      </c>
      <c r="AC75" s="3" t="s">
        <v>16</v>
      </c>
      <c r="AD75" s="60" cm="1">
        <f t="array" ref="AD75">MMULT($J75:$U75,AD$55:AD$66)</f>
        <v>3.929222612067766</v>
      </c>
      <c r="AE75" s="60" cm="1">
        <f t="array" ref="AE75">MMULT($J75:$U75,AE$55:AE$66)</f>
        <v>5.853593911836108</v>
      </c>
      <c r="AF75" s="60" cm="1">
        <f t="array" ref="AF75">MMULT($J75:$U75,AF$55:AF$66)</f>
        <v>5.853593911836108</v>
      </c>
      <c r="AG75" s="60" cm="1">
        <f t="array" ref="AG75">MMULT($J75:$U75,AG$55:AG$66)</f>
        <v>7.8448941509136185</v>
      </c>
      <c r="AH75" s="60" cm="1">
        <f t="array" ref="AH75">MMULT($J75:$U75,AH$55:AH$66)</f>
        <v>6.3377090493122505</v>
      </c>
      <c r="AI75" s="60" cm="1">
        <f t="array" ref="AI75">MMULT($J75:$U75,AI$55:AI$66)</f>
        <v>1.5841376740738615</v>
      </c>
      <c r="AJ75" s="60" cm="1">
        <f t="array" ref="AJ75">MMULT($J75:$U75,AJ$55:AJ$66)</f>
        <v>1.9804717670924512</v>
      </c>
      <c r="AK75" s="60" cm="1">
        <f t="array" ref="AK75">MMULT($J75:$U75,AK$55:AK$66)</f>
        <v>5.1325360674937697</v>
      </c>
      <c r="AL75" s="60" cm="1">
        <f t="array" ref="AL75">MMULT($J75:$U75,AL$55:AL$66)</f>
        <v>2.3498441434813762</v>
      </c>
      <c r="AM75" s="60" cm="1">
        <f t="array" ref="AM75">MMULT($J75:$U75,AM$55:AM$66)</f>
        <v>3.4605669374622861</v>
      </c>
      <c r="AN75" s="60" cm="1">
        <f t="array" ref="AN75">MMULT($J75:$U75,AN$55:AN$66)</f>
        <v>4.6558785983040307</v>
      </c>
      <c r="AO75" s="60" cm="1">
        <f t="array" ref="AO75">MMULT($J75:$U75,AO$55:AO$66)</f>
        <v>7.0338261465817489</v>
      </c>
    </row>
    <row r="76" spans="3:42" ht="13">
      <c r="AD76" s="3" t="s">
        <v>14</v>
      </c>
      <c r="AE76" s="3" t="s">
        <v>14</v>
      </c>
      <c r="AF76" s="3" t="s">
        <v>14</v>
      </c>
      <c r="AG76" s="3" t="s">
        <v>14</v>
      </c>
      <c r="AH76" s="3" t="s">
        <v>14</v>
      </c>
      <c r="AI76" s="3" t="s">
        <v>14</v>
      </c>
      <c r="AJ76" s="3" t="s">
        <v>14</v>
      </c>
      <c r="AK76" s="3" t="s">
        <v>14</v>
      </c>
      <c r="AL76" s="3" t="s">
        <v>14</v>
      </c>
      <c r="AM76" s="3" t="s">
        <v>14</v>
      </c>
      <c r="AN76" s="3" t="s">
        <v>14</v>
      </c>
      <c r="AO76" s="3" t="s">
        <v>14</v>
      </c>
    </row>
    <row r="77" spans="3:42" ht="13">
      <c r="AD77" s="37" t="s">
        <v>120</v>
      </c>
      <c r="AE77" s="3"/>
      <c r="AF77" s="3"/>
      <c r="AG77" s="3"/>
    </row>
    <row r="78" spans="3:42" ht="13">
      <c r="AD78" s="3"/>
      <c r="AE78" s="3"/>
      <c r="AF78" s="3"/>
      <c r="AG78" s="3"/>
    </row>
    <row r="79" spans="3:42" ht="13">
      <c r="AD79" s="3"/>
      <c r="AE79" s="3"/>
      <c r="AF79" s="3"/>
      <c r="AG79" s="3"/>
    </row>
    <row r="80" spans="3:42" ht="13">
      <c r="AD80" s="3"/>
      <c r="AE80" s="3"/>
      <c r="AF80" s="3"/>
      <c r="AG80" s="3"/>
    </row>
    <row r="81" spans="30:33" ht="13">
      <c r="AD81" s="3"/>
      <c r="AE81" s="3"/>
      <c r="AF81" s="3"/>
      <c r="AG81" s="3"/>
    </row>
    <row r="82" spans="30:33" ht="13">
      <c r="AD82" s="3"/>
      <c r="AE82" s="3"/>
      <c r="AF82" s="3"/>
      <c r="AG82" s="3"/>
    </row>
    <row r="83" spans="30:33" ht="13">
      <c r="AD83" s="3"/>
      <c r="AE83" s="3"/>
      <c r="AF83" s="3"/>
      <c r="AG83" s="3"/>
    </row>
    <row r="84" spans="30:33" ht="13">
      <c r="AD84" s="3"/>
      <c r="AE84" s="3"/>
      <c r="AF84" s="3"/>
      <c r="AG84" s="3"/>
    </row>
    <row r="85" spans="30:33" ht="13">
      <c r="AD85" s="3"/>
      <c r="AE85" s="3"/>
      <c r="AF85" s="3"/>
      <c r="AG85" s="3"/>
    </row>
    <row r="86" spans="30:33" ht="13">
      <c r="AD86" s="3"/>
      <c r="AE86" s="3"/>
      <c r="AF86" s="3"/>
      <c r="AG86" s="3"/>
    </row>
    <row r="87" spans="30:33" ht="13">
      <c r="AD87" s="3"/>
      <c r="AE87" s="3"/>
      <c r="AF87" s="3"/>
      <c r="AG87" s="3"/>
    </row>
    <row r="88" spans="30:33" ht="13">
      <c r="AD88" s="3"/>
      <c r="AE88" s="3"/>
      <c r="AF88" s="3"/>
      <c r="AG88" s="3"/>
    </row>
    <row r="89" spans="30:33" ht="13">
      <c r="AD89" s="3"/>
      <c r="AE89" s="3"/>
      <c r="AF89" s="3"/>
      <c r="AG89" s="3"/>
    </row>
    <row r="90" spans="30:33" ht="13">
      <c r="AD90" s="3"/>
      <c r="AE90" s="3"/>
      <c r="AF90" s="3"/>
      <c r="AG90" s="3"/>
    </row>
    <row r="91" spans="30:33" ht="13">
      <c r="AD91" s="3"/>
      <c r="AE91" s="3"/>
      <c r="AF91" s="3"/>
      <c r="AG91" s="3"/>
    </row>
    <row r="92" spans="30:33" ht="13">
      <c r="AD92" s="3"/>
      <c r="AE92" s="3"/>
      <c r="AF92" s="3"/>
      <c r="AG92" s="3"/>
    </row>
    <row r="93" spans="30:33" ht="13">
      <c r="AD93" s="3"/>
      <c r="AE93" s="3"/>
      <c r="AF93" s="3"/>
      <c r="AG93" s="3"/>
    </row>
    <row r="94" spans="30:33" ht="13">
      <c r="AD94" s="3"/>
      <c r="AE94" s="3"/>
      <c r="AF94" s="3"/>
      <c r="AG94" s="3"/>
    </row>
    <row r="95" spans="30:33" ht="13">
      <c r="AD95" s="3"/>
      <c r="AE95" s="3"/>
      <c r="AF95" s="3"/>
      <c r="AG95" s="3"/>
    </row>
    <row r="96" spans="30:33" ht="13">
      <c r="AD96" s="3"/>
      <c r="AE96" s="3"/>
      <c r="AF96" s="3"/>
      <c r="AG96" s="3"/>
    </row>
    <row r="97" spans="30:33" ht="13">
      <c r="AD97" s="3"/>
      <c r="AE97" s="3"/>
      <c r="AF97" s="3"/>
      <c r="AG97" s="3"/>
    </row>
    <row r="98" spans="30:33" ht="13">
      <c r="AD98" s="3"/>
      <c r="AE98" s="3"/>
      <c r="AF98" s="3"/>
      <c r="AG98" s="3"/>
    </row>
    <row r="99" spans="30:33" ht="13">
      <c r="AD99" s="3"/>
      <c r="AE99" s="3"/>
      <c r="AF99" s="3"/>
      <c r="AG99" s="3"/>
    </row>
    <row r="100" spans="30:33" ht="13">
      <c r="AD100" s="3"/>
      <c r="AE100" s="3"/>
      <c r="AF100" s="3"/>
      <c r="AG100" s="3"/>
    </row>
    <row r="101" spans="30:33" ht="13">
      <c r="AD101" s="3"/>
      <c r="AE101" s="3"/>
      <c r="AF101" s="3"/>
      <c r="AG101" s="3"/>
    </row>
    <row r="102" spans="30:33" ht="13">
      <c r="AD102" s="3"/>
      <c r="AE102" s="3"/>
      <c r="AF102" s="3"/>
      <c r="AG102" s="3"/>
    </row>
    <row r="103" spans="30:33" ht="13">
      <c r="AD103" s="3"/>
      <c r="AE103" s="3"/>
      <c r="AF103" s="3"/>
      <c r="AG103" s="3"/>
    </row>
    <row r="104" spans="30:33" ht="13">
      <c r="AD104" s="3"/>
      <c r="AE104" s="3"/>
      <c r="AF104" s="3"/>
      <c r="AG104" s="3"/>
    </row>
    <row r="105" spans="30:33" ht="13">
      <c r="AD105" s="3"/>
      <c r="AE105" s="3"/>
      <c r="AF105" s="3"/>
      <c r="AG105" s="3"/>
    </row>
    <row r="106" spans="30:33" ht="13">
      <c r="AD106" s="3"/>
      <c r="AE106" s="3"/>
      <c r="AF106" s="3"/>
      <c r="AG106" s="3"/>
    </row>
    <row r="107" spans="30:33" ht="13">
      <c r="AD107" s="3"/>
      <c r="AE107" s="3"/>
      <c r="AF107" s="3"/>
      <c r="AG107" s="3"/>
    </row>
    <row r="108" spans="30:33" ht="13">
      <c r="AD108" s="3"/>
      <c r="AE108" s="3"/>
      <c r="AF108" s="3"/>
      <c r="AG108" s="3"/>
    </row>
    <row r="109" spans="30:33" ht="13">
      <c r="AD109" s="3"/>
      <c r="AE109" s="3"/>
      <c r="AF109" s="3"/>
      <c r="AG109" s="3"/>
    </row>
    <row r="110" spans="30:33" ht="13">
      <c r="AD110" s="3"/>
      <c r="AE110" s="3"/>
      <c r="AF110" s="3"/>
      <c r="AG110" s="3"/>
    </row>
    <row r="111" spans="30:33" ht="13">
      <c r="AD111" s="3"/>
      <c r="AE111" s="3"/>
      <c r="AF111" s="3"/>
      <c r="AG111" s="3"/>
    </row>
    <row r="112" spans="30:33" ht="13">
      <c r="AD112" s="3"/>
      <c r="AE112" s="3"/>
      <c r="AF112" s="3"/>
      <c r="AG112" s="3"/>
    </row>
    <row r="113" spans="30:33" ht="13">
      <c r="AD113" s="3"/>
      <c r="AE113" s="3"/>
      <c r="AF113" s="3"/>
      <c r="AG113" s="3"/>
    </row>
    <row r="114" spans="30:33" ht="13">
      <c r="AD114" s="3"/>
      <c r="AE114" s="3"/>
      <c r="AF114" s="3"/>
      <c r="AG114" s="3"/>
    </row>
    <row r="115" spans="30:33" ht="13">
      <c r="AD115" s="3"/>
      <c r="AE115" s="3"/>
      <c r="AF115" s="3"/>
      <c r="AG115" s="3"/>
    </row>
    <row r="116" spans="30:33" ht="13">
      <c r="AD116" s="3"/>
      <c r="AE116" s="3"/>
      <c r="AF116" s="3"/>
      <c r="AG116" s="3"/>
    </row>
    <row r="117" spans="30:33" ht="13">
      <c r="AD117" s="3"/>
      <c r="AE117" s="3"/>
      <c r="AF117" s="3"/>
      <c r="AG117" s="3"/>
    </row>
    <row r="118" spans="30:33" ht="13">
      <c r="AD118" s="3"/>
      <c r="AE118" s="3"/>
      <c r="AF118" s="3"/>
      <c r="AG118" s="3"/>
    </row>
    <row r="119" spans="30:33" ht="13">
      <c r="AD119" s="3"/>
      <c r="AE119" s="3"/>
      <c r="AF119" s="3"/>
      <c r="AG119" s="3"/>
    </row>
    <row r="120" spans="30:33" ht="13">
      <c r="AD120" s="3"/>
      <c r="AE120" s="3"/>
      <c r="AF120" s="3"/>
      <c r="AG120" s="3"/>
    </row>
    <row r="121" spans="30:33" ht="13">
      <c r="AD121" s="3"/>
      <c r="AE121" s="3"/>
      <c r="AF121" s="3"/>
      <c r="AG121" s="3"/>
    </row>
    <row r="122" spans="30:33" ht="13">
      <c r="AD122" s="3"/>
      <c r="AE122" s="3"/>
      <c r="AF122" s="3"/>
      <c r="AG122" s="3"/>
    </row>
    <row r="123" spans="30:33" ht="13">
      <c r="AD123" s="3"/>
      <c r="AE123" s="3"/>
      <c r="AF123" s="3"/>
      <c r="AG123" s="3"/>
    </row>
    <row r="124" spans="30:33" ht="13">
      <c r="AD124" s="3"/>
      <c r="AE124" s="3"/>
      <c r="AF124" s="3"/>
      <c r="AG124" s="3"/>
    </row>
    <row r="125" spans="30:33" ht="13">
      <c r="AD125" s="3"/>
      <c r="AE125" s="3"/>
      <c r="AF125" s="3"/>
      <c r="AG125" s="3"/>
    </row>
    <row r="126" spans="30:33" ht="13">
      <c r="AD126" s="3"/>
      <c r="AE126" s="3"/>
      <c r="AF126" s="3"/>
      <c r="AG126" s="3"/>
    </row>
    <row r="127" spans="30:33" ht="13">
      <c r="AD127" s="3"/>
      <c r="AE127" s="3"/>
      <c r="AF127" s="3"/>
      <c r="AG127" s="3"/>
    </row>
    <row r="128" spans="30:33" ht="13">
      <c r="AD128" s="3"/>
      <c r="AE128" s="3"/>
      <c r="AF128" s="3"/>
      <c r="AG128" s="3"/>
    </row>
    <row r="129" spans="30:33" ht="13">
      <c r="AD129" s="3"/>
      <c r="AE129" s="3"/>
      <c r="AF129" s="3"/>
      <c r="AG129" s="3"/>
    </row>
    <row r="130" spans="30:33" ht="13">
      <c r="AD130" s="3"/>
      <c r="AE130" s="3"/>
      <c r="AF130" s="3"/>
      <c r="AG130" s="3"/>
    </row>
    <row r="131" spans="30:33" ht="13">
      <c r="AD131" s="3"/>
      <c r="AE131" s="3"/>
      <c r="AF131" s="3"/>
      <c r="AG131" s="3"/>
    </row>
    <row r="132" spans="30:33" ht="13">
      <c r="AD132" s="3"/>
      <c r="AE132" s="3"/>
      <c r="AF132" s="3"/>
      <c r="AG132" s="3"/>
    </row>
    <row r="133" spans="30:33" ht="13">
      <c r="AD133" s="3"/>
      <c r="AE133" s="3"/>
      <c r="AF133" s="3"/>
      <c r="AG133" s="3"/>
    </row>
    <row r="134" spans="30:33" ht="13">
      <c r="AD134" s="3"/>
      <c r="AE134" s="3"/>
      <c r="AF134" s="3"/>
      <c r="AG134" s="3"/>
    </row>
    <row r="135" spans="30:33" ht="13">
      <c r="AD135" s="3"/>
      <c r="AE135" s="3"/>
      <c r="AF135" s="3"/>
      <c r="AG135" s="3"/>
    </row>
    <row r="136" spans="30:33" ht="13">
      <c r="AD136" s="3"/>
      <c r="AE136" s="3"/>
      <c r="AF136" s="3"/>
      <c r="AG136" s="3"/>
    </row>
    <row r="137" spans="30:33" ht="13">
      <c r="AD137" s="3"/>
      <c r="AE137" s="3"/>
      <c r="AF137" s="3"/>
      <c r="AG137" s="3"/>
    </row>
    <row r="138" spans="30:33" ht="13">
      <c r="AD138" s="3"/>
      <c r="AE138" s="3"/>
      <c r="AF138" s="3"/>
      <c r="AG138" s="3"/>
    </row>
    <row r="139" spans="30:33" ht="13">
      <c r="AD139" s="3"/>
      <c r="AE139" s="3"/>
      <c r="AF139" s="3"/>
      <c r="AG139" s="3"/>
    </row>
    <row r="140" spans="30:33" ht="13">
      <c r="AD140" s="3"/>
      <c r="AE140" s="3"/>
      <c r="AF140" s="3"/>
      <c r="AG140" s="3"/>
    </row>
    <row r="141" spans="30:33" ht="13">
      <c r="AD141" s="3"/>
      <c r="AE141" s="3"/>
      <c r="AF141" s="3"/>
      <c r="AG141" s="3"/>
    </row>
    <row r="142" spans="30:33" ht="13">
      <c r="AD142" s="3"/>
      <c r="AE142" s="3"/>
      <c r="AF142" s="3"/>
      <c r="AG142" s="3"/>
    </row>
    <row r="143" spans="30:33" ht="13">
      <c r="AD143" s="3"/>
      <c r="AE143" s="3"/>
      <c r="AF143" s="3"/>
      <c r="AG143" s="3"/>
    </row>
    <row r="144" spans="30:33" ht="13">
      <c r="AD144" s="3"/>
      <c r="AE144" s="3"/>
      <c r="AF144" s="3"/>
      <c r="AG144" s="3"/>
    </row>
    <row r="145" spans="30:33" ht="13">
      <c r="AD145" s="3"/>
      <c r="AE145" s="3"/>
      <c r="AF145" s="3"/>
      <c r="AG145" s="3"/>
    </row>
    <row r="146" spans="30:33" ht="13">
      <c r="AD146" s="3"/>
      <c r="AE146" s="3"/>
      <c r="AF146" s="3"/>
      <c r="AG146" s="3"/>
    </row>
    <row r="147" spans="30:33" ht="13">
      <c r="AD147" s="3"/>
      <c r="AE147" s="3"/>
      <c r="AF147" s="3"/>
      <c r="AG147" s="3"/>
    </row>
    <row r="148" spans="30:33" ht="13">
      <c r="AD148" s="3"/>
      <c r="AE148" s="3"/>
      <c r="AF148" s="3"/>
      <c r="AG148" s="3"/>
    </row>
    <row r="149" spans="30:33" ht="13">
      <c r="AD149" s="3"/>
      <c r="AE149" s="3"/>
      <c r="AF149" s="3"/>
      <c r="AG149" s="3"/>
    </row>
    <row r="150" spans="30:33" ht="13">
      <c r="AD150" s="3"/>
      <c r="AE150" s="3"/>
      <c r="AF150" s="3"/>
      <c r="AG150" s="3"/>
    </row>
    <row r="151" spans="30:33" ht="13">
      <c r="AD151" s="3"/>
      <c r="AE151" s="3"/>
      <c r="AF151" s="3"/>
      <c r="AG151" s="3"/>
    </row>
    <row r="152" spans="30:33" ht="13">
      <c r="AD152" s="3"/>
      <c r="AE152" s="3"/>
      <c r="AF152" s="3"/>
      <c r="AG152" s="3"/>
    </row>
    <row r="153" spans="30:33" ht="13">
      <c r="AD153" s="3"/>
      <c r="AE153" s="3"/>
      <c r="AF153" s="3"/>
      <c r="AG153" s="3"/>
    </row>
    <row r="154" spans="30:33" ht="13">
      <c r="AD154" s="3"/>
      <c r="AE154" s="3"/>
      <c r="AF154" s="3"/>
      <c r="AG154" s="3"/>
    </row>
    <row r="155" spans="30:33" ht="13">
      <c r="AD155" s="3"/>
      <c r="AE155" s="3"/>
      <c r="AF155" s="3"/>
      <c r="AG155" s="3"/>
    </row>
    <row r="156" spans="30:33" ht="13">
      <c r="AD156" s="3"/>
      <c r="AE156" s="3"/>
      <c r="AF156" s="3"/>
      <c r="AG156" s="3"/>
    </row>
    <row r="157" spans="30:33" ht="13">
      <c r="AD157" s="3"/>
      <c r="AE157" s="3"/>
      <c r="AF157" s="3"/>
      <c r="AG157" s="3"/>
    </row>
    <row r="158" spans="30:33" ht="13">
      <c r="AD158" s="3"/>
      <c r="AE158" s="3"/>
      <c r="AF158" s="3"/>
      <c r="AG158" s="3"/>
    </row>
    <row r="159" spans="30:33" ht="13">
      <c r="AD159" s="3"/>
      <c r="AE159" s="3"/>
      <c r="AF159" s="3"/>
      <c r="AG159" s="3"/>
    </row>
    <row r="160" spans="30:33" ht="13">
      <c r="AD160" s="3"/>
      <c r="AE160" s="3"/>
      <c r="AF160" s="3"/>
      <c r="AG160" s="3"/>
    </row>
    <row r="161" spans="30:33" ht="13">
      <c r="AD161" s="3"/>
      <c r="AE161" s="3"/>
      <c r="AF161" s="3"/>
      <c r="AG161" s="3"/>
    </row>
    <row r="162" spans="30:33" ht="13">
      <c r="AD162" s="3"/>
      <c r="AE162" s="3"/>
      <c r="AF162" s="3"/>
      <c r="AG162" s="3"/>
    </row>
    <row r="163" spans="30:33" ht="13">
      <c r="AD163" s="3"/>
      <c r="AE163" s="3"/>
      <c r="AF163" s="3"/>
      <c r="AG163" s="3"/>
    </row>
    <row r="164" spans="30:33" ht="13">
      <c r="AD164" s="3"/>
      <c r="AE164" s="3"/>
      <c r="AF164" s="3"/>
      <c r="AG164" s="3"/>
    </row>
    <row r="165" spans="30:33" ht="13">
      <c r="AD165" s="3"/>
      <c r="AE165" s="3"/>
      <c r="AF165" s="3"/>
      <c r="AG165" s="3"/>
    </row>
    <row r="166" spans="30:33" ht="13">
      <c r="AD166" s="3"/>
      <c r="AE166" s="3"/>
      <c r="AF166" s="3"/>
      <c r="AG166" s="3"/>
    </row>
    <row r="167" spans="30:33" ht="13">
      <c r="AD167" s="3"/>
      <c r="AE167" s="3"/>
      <c r="AF167" s="3"/>
      <c r="AG167" s="3"/>
    </row>
    <row r="168" spans="30:33" ht="13">
      <c r="AD168" s="3"/>
      <c r="AE168" s="3"/>
      <c r="AF168" s="3"/>
      <c r="AG168" s="3"/>
    </row>
    <row r="169" spans="30:33" ht="13">
      <c r="AD169" s="3"/>
      <c r="AE169" s="3"/>
      <c r="AF169" s="3"/>
      <c r="AG169" s="3"/>
    </row>
    <row r="170" spans="30:33" ht="13">
      <c r="AD170" s="3"/>
      <c r="AE170" s="3"/>
      <c r="AF170" s="3"/>
      <c r="AG170" s="3"/>
    </row>
    <row r="171" spans="30:33" ht="13">
      <c r="AD171" s="3"/>
      <c r="AE171" s="3"/>
      <c r="AF171" s="3"/>
      <c r="AG171" s="3"/>
    </row>
    <row r="172" spans="30:33" ht="13">
      <c r="AD172" s="3"/>
      <c r="AE172" s="3"/>
      <c r="AF172" s="3"/>
      <c r="AG172" s="3"/>
    </row>
    <row r="173" spans="30:33" ht="13">
      <c r="AD173" s="3"/>
      <c r="AE173" s="3"/>
      <c r="AF173" s="3"/>
      <c r="AG173" s="3"/>
    </row>
    <row r="174" spans="30:33" ht="13">
      <c r="AD174" s="3"/>
      <c r="AE174" s="3"/>
      <c r="AF174" s="3"/>
      <c r="AG174" s="3"/>
    </row>
    <row r="175" spans="30:33" ht="13">
      <c r="AD175" s="3"/>
      <c r="AE175" s="3"/>
      <c r="AF175" s="3"/>
      <c r="AG175" s="3"/>
    </row>
    <row r="176" spans="30:33" ht="13">
      <c r="AD176" s="3"/>
      <c r="AE176" s="3"/>
      <c r="AF176" s="3"/>
      <c r="AG176" s="3"/>
    </row>
    <row r="177" spans="30:33" ht="13">
      <c r="AD177" s="3"/>
      <c r="AE177" s="3"/>
      <c r="AF177" s="3"/>
      <c r="AG177" s="3"/>
    </row>
    <row r="178" spans="30:33" ht="13">
      <c r="AD178" s="3"/>
      <c r="AE178" s="3"/>
      <c r="AF178" s="3"/>
      <c r="AG178" s="3"/>
    </row>
    <row r="179" spans="30:33" ht="13">
      <c r="AD179" s="3"/>
      <c r="AE179" s="3"/>
      <c r="AF179" s="3"/>
      <c r="AG179" s="3"/>
    </row>
    <row r="180" spans="30:33" ht="13">
      <c r="AD180" s="3"/>
      <c r="AE180" s="3"/>
      <c r="AF180" s="3"/>
      <c r="AG180" s="3"/>
    </row>
    <row r="181" spans="30:33" ht="13">
      <c r="AD181" s="3"/>
      <c r="AE181" s="3"/>
      <c r="AF181" s="3"/>
      <c r="AG181" s="3"/>
    </row>
    <row r="182" spans="30:33" ht="13">
      <c r="AD182" s="3"/>
      <c r="AE182" s="3"/>
      <c r="AF182" s="3"/>
      <c r="AG182" s="3"/>
    </row>
    <row r="183" spans="30:33" ht="13">
      <c r="AD183" s="3"/>
      <c r="AE183" s="3"/>
      <c r="AF183" s="3"/>
      <c r="AG183" s="3"/>
    </row>
    <row r="184" spans="30:33" ht="13">
      <c r="AD184" s="3"/>
      <c r="AE184" s="3"/>
      <c r="AF184" s="3"/>
      <c r="AG184" s="3"/>
    </row>
    <row r="185" spans="30:33" ht="13">
      <c r="AD185" s="3"/>
      <c r="AE185" s="3"/>
      <c r="AF185" s="3"/>
      <c r="AG185" s="3"/>
    </row>
    <row r="186" spans="30:33" ht="13">
      <c r="AD186" s="3"/>
      <c r="AE186" s="3"/>
      <c r="AF186" s="3"/>
      <c r="AG186" s="3"/>
    </row>
    <row r="187" spans="30:33" ht="13">
      <c r="AD187" s="3"/>
      <c r="AE187" s="3"/>
      <c r="AF187" s="3"/>
      <c r="AG187" s="3"/>
    </row>
    <row r="188" spans="30:33" ht="13">
      <c r="AD188" s="3"/>
      <c r="AE188" s="3"/>
      <c r="AF188" s="3"/>
      <c r="AG188" s="3"/>
    </row>
    <row r="189" spans="30:33" ht="13">
      <c r="AD189" s="3"/>
      <c r="AE189" s="3"/>
      <c r="AF189" s="3"/>
      <c r="AG189" s="3"/>
    </row>
    <row r="190" spans="30:33" ht="13">
      <c r="AD190" s="3"/>
      <c r="AE190" s="3"/>
      <c r="AF190" s="3"/>
      <c r="AG190" s="3"/>
    </row>
    <row r="191" spans="30:33" ht="13">
      <c r="AD191" s="3"/>
      <c r="AE191" s="3"/>
      <c r="AF191" s="3"/>
      <c r="AG191" s="3"/>
    </row>
    <row r="192" spans="30:33" ht="13">
      <c r="AD192" s="3"/>
      <c r="AE192" s="3"/>
      <c r="AF192" s="3"/>
      <c r="AG192" s="3"/>
    </row>
    <row r="193" spans="30:33" ht="13">
      <c r="AD193" s="3"/>
      <c r="AE193" s="3"/>
      <c r="AF193" s="3"/>
      <c r="AG193" s="3"/>
    </row>
    <row r="194" spans="30:33" ht="13">
      <c r="AD194" s="3"/>
      <c r="AE194" s="3"/>
      <c r="AF194" s="3"/>
      <c r="AG194" s="3"/>
    </row>
    <row r="195" spans="30:33" ht="13">
      <c r="AD195" s="3"/>
      <c r="AE195" s="3"/>
      <c r="AF195" s="3"/>
      <c r="AG195" s="3"/>
    </row>
    <row r="196" spans="30:33" ht="13">
      <c r="AD196" s="3"/>
      <c r="AE196" s="3"/>
      <c r="AF196" s="3"/>
      <c r="AG196" s="3"/>
    </row>
    <row r="197" spans="30:33" ht="13">
      <c r="AD197" s="3"/>
      <c r="AE197" s="3"/>
      <c r="AF197" s="3"/>
      <c r="AG197" s="3"/>
    </row>
    <row r="198" spans="30:33" ht="13">
      <c r="AD198" s="3"/>
      <c r="AE198" s="3"/>
      <c r="AF198" s="3"/>
      <c r="AG198" s="3"/>
    </row>
    <row r="199" spans="30:33" ht="13">
      <c r="AD199" s="3"/>
      <c r="AE199" s="3"/>
      <c r="AF199" s="3"/>
      <c r="AG199" s="3"/>
    </row>
    <row r="200" spans="30:33" ht="13">
      <c r="AD200" s="3"/>
      <c r="AE200" s="3"/>
      <c r="AF200" s="3"/>
      <c r="AG200" s="3"/>
    </row>
    <row r="201" spans="30:33" ht="13">
      <c r="AD201" s="3"/>
      <c r="AE201" s="3"/>
      <c r="AF201" s="3"/>
      <c r="AG201" s="3"/>
    </row>
    <row r="202" spans="30:33" ht="13">
      <c r="AD202" s="3"/>
      <c r="AE202" s="3"/>
      <c r="AF202" s="3"/>
      <c r="AG202" s="3"/>
    </row>
    <row r="203" spans="30:33" ht="13">
      <c r="AD203" s="3"/>
      <c r="AE203" s="3"/>
      <c r="AF203" s="3"/>
      <c r="AG203" s="3"/>
    </row>
    <row r="204" spans="30:33" ht="13">
      <c r="AD204" s="3"/>
      <c r="AE204" s="3"/>
      <c r="AF204" s="3"/>
      <c r="AG204" s="3"/>
    </row>
    <row r="205" spans="30:33" ht="13">
      <c r="AD205" s="3"/>
      <c r="AE205" s="3"/>
      <c r="AF205" s="3"/>
      <c r="AG205" s="3"/>
    </row>
    <row r="206" spans="30:33" ht="13">
      <c r="AD206" s="3"/>
      <c r="AE206" s="3"/>
      <c r="AF206" s="3"/>
      <c r="AG206" s="3"/>
    </row>
    <row r="207" spans="30:33" ht="13">
      <c r="AD207" s="3"/>
      <c r="AE207" s="3"/>
      <c r="AF207" s="3"/>
      <c r="AG207" s="3"/>
    </row>
    <row r="208" spans="30:33" ht="13">
      <c r="AD208" s="3"/>
      <c r="AE208" s="3"/>
      <c r="AF208" s="3"/>
      <c r="AG208" s="3"/>
    </row>
    <row r="209" spans="30:33" ht="13">
      <c r="AD209" s="3"/>
      <c r="AE209" s="3"/>
      <c r="AF209" s="3"/>
      <c r="AG209" s="3"/>
    </row>
    <row r="210" spans="30:33" ht="13">
      <c r="AD210" s="3"/>
      <c r="AE210" s="3"/>
      <c r="AF210" s="3"/>
      <c r="AG210" s="3"/>
    </row>
    <row r="211" spans="30:33" ht="13">
      <c r="AD211" s="3"/>
      <c r="AE211" s="3"/>
      <c r="AF211" s="3"/>
      <c r="AG211" s="3"/>
    </row>
    <row r="212" spans="30:33" ht="13">
      <c r="AD212" s="3"/>
      <c r="AE212" s="3"/>
      <c r="AF212" s="3"/>
      <c r="AG212" s="3"/>
    </row>
    <row r="213" spans="30:33" ht="13">
      <c r="AD213" s="3"/>
      <c r="AE213" s="3"/>
      <c r="AF213" s="3"/>
      <c r="AG213" s="3"/>
    </row>
    <row r="214" spans="30:33" ht="13">
      <c r="AD214" s="3"/>
      <c r="AE214" s="3"/>
      <c r="AF214" s="3"/>
      <c r="AG214" s="3"/>
    </row>
    <row r="215" spans="30:33" ht="13">
      <c r="AD215" s="3"/>
      <c r="AE215" s="3"/>
      <c r="AF215" s="3"/>
      <c r="AG215" s="3"/>
    </row>
    <row r="216" spans="30:33" ht="13">
      <c r="AD216" s="3"/>
      <c r="AE216" s="3"/>
      <c r="AF216" s="3"/>
      <c r="AG216" s="3"/>
    </row>
    <row r="217" spans="30:33" ht="13">
      <c r="AD217" s="3"/>
      <c r="AE217" s="3"/>
      <c r="AF217" s="3"/>
      <c r="AG217" s="3"/>
    </row>
    <row r="218" spans="30:33" ht="13">
      <c r="AD218" s="3"/>
      <c r="AE218" s="3"/>
      <c r="AF218" s="3"/>
      <c r="AG218" s="3"/>
    </row>
    <row r="219" spans="30:33" ht="13">
      <c r="AD219" s="3"/>
      <c r="AE219" s="3"/>
      <c r="AF219" s="3"/>
      <c r="AG219" s="3"/>
    </row>
    <row r="220" spans="30:33" ht="13">
      <c r="AD220" s="3"/>
      <c r="AE220" s="3"/>
      <c r="AF220" s="3"/>
      <c r="AG220" s="3"/>
    </row>
    <row r="221" spans="30:33" ht="13">
      <c r="AD221" s="3"/>
      <c r="AE221" s="3"/>
      <c r="AF221" s="3"/>
      <c r="AG221" s="3"/>
    </row>
    <row r="222" spans="30:33" ht="13">
      <c r="AD222" s="3"/>
      <c r="AE222" s="3"/>
      <c r="AF222" s="3"/>
      <c r="AG222" s="3"/>
    </row>
    <row r="223" spans="30:33" ht="13">
      <c r="AD223" s="3"/>
      <c r="AE223" s="3"/>
      <c r="AF223" s="3"/>
      <c r="AG223" s="3"/>
    </row>
    <row r="224" spans="30:33" ht="13">
      <c r="AD224" s="3"/>
      <c r="AE224" s="3"/>
      <c r="AF224" s="3"/>
      <c r="AG224" s="3"/>
    </row>
    <row r="225" spans="30:33" ht="13">
      <c r="AD225" s="3"/>
      <c r="AE225" s="3"/>
      <c r="AF225" s="3"/>
      <c r="AG225" s="3"/>
    </row>
    <row r="226" spans="30:33" ht="13">
      <c r="AD226" s="3"/>
      <c r="AE226" s="3"/>
      <c r="AF226" s="3"/>
      <c r="AG226" s="3"/>
    </row>
    <row r="227" spans="30:33" ht="13">
      <c r="AD227" s="3"/>
      <c r="AE227" s="3"/>
      <c r="AF227" s="3"/>
      <c r="AG227" s="3"/>
    </row>
    <row r="228" spans="30:33" ht="13">
      <c r="AD228" s="3"/>
      <c r="AE228" s="3"/>
      <c r="AF228" s="3"/>
      <c r="AG228" s="3"/>
    </row>
    <row r="229" spans="30:33" ht="13">
      <c r="AD229" s="3"/>
      <c r="AE229" s="3"/>
      <c r="AF229" s="3"/>
      <c r="AG229" s="3"/>
    </row>
    <row r="230" spans="30:33" ht="13">
      <c r="AD230" s="3"/>
      <c r="AE230" s="3"/>
      <c r="AF230" s="3"/>
      <c r="AG230" s="3"/>
    </row>
    <row r="231" spans="30:33" ht="13">
      <c r="AD231" s="3"/>
      <c r="AE231" s="3"/>
      <c r="AF231" s="3"/>
      <c r="AG231" s="3"/>
    </row>
    <row r="232" spans="30:33" ht="13">
      <c r="AD232" s="3"/>
      <c r="AE232" s="3"/>
      <c r="AF232" s="3"/>
      <c r="AG232" s="3"/>
    </row>
    <row r="233" spans="30:33" ht="13">
      <c r="AD233" s="3"/>
      <c r="AE233" s="3"/>
      <c r="AF233" s="3"/>
      <c r="AG233" s="3"/>
    </row>
    <row r="234" spans="30:33" ht="13">
      <c r="AD234" s="3"/>
      <c r="AE234" s="3"/>
      <c r="AF234" s="3"/>
      <c r="AG234" s="3"/>
    </row>
    <row r="235" spans="30:33" ht="13">
      <c r="AD235" s="3"/>
      <c r="AE235" s="3"/>
      <c r="AF235" s="3"/>
      <c r="AG235" s="3"/>
    </row>
    <row r="236" spans="30:33" ht="13">
      <c r="AD236" s="3"/>
      <c r="AE236" s="3"/>
      <c r="AF236" s="3"/>
      <c r="AG236" s="3"/>
    </row>
    <row r="237" spans="30:33" ht="13">
      <c r="AD237" s="3"/>
      <c r="AE237" s="3"/>
      <c r="AF237" s="3"/>
      <c r="AG237" s="3"/>
    </row>
    <row r="238" spans="30:33" ht="13">
      <c r="AD238" s="3"/>
      <c r="AE238" s="3"/>
      <c r="AF238" s="3"/>
      <c r="AG238" s="3"/>
    </row>
    <row r="239" spans="30:33" ht="13">
      <c r="AD239" s="3"/>
      <c r="AE239" s="3"/>
      <c r="AF239" s="3"/>
      <c r="AG239" s="3"/>
    </row>
    <row r="240" spans="30:33" ht="13">
      <c r="AD240" s="3"/>
      <c r="AE240" s="3"/>
      <c r="AF240" s="3"/>
      <c r="AG240" s="3"/>
    </row>
    <row r="241" spans="30:33" ht="13">
      <c r="AD241" s="3"/>
      <c r="AE241" s="3"/>
      <c r="AF241" s="3"/>
      <c r="AG241" s="3"/>
    </row>
    <row r="242" spans="30:33" ht="13">
      <c r="AD242" s="3"/>
      <c r="AE242" s="3"/>
      <c r="AF242" s="3"/>
      <c r="AG242" s="3"/>
    </row>
    <row r="243" spans="30:33" ht="13">
      <c r="AD243" s="3"/>
      <c r="AE243" s="3"/>
      <c r="AF243" s="3"/>
      <c r="AG243" s="3"/>
    </row>
    <row r="244" spans="30:33" ht="13">
      <c r="AD244" s="3"/>
      <c r="AE244" s="3"/>
      <c r="AF244" s="3"/>
      <c r="AG244" s="3"/>
    </row>
    <row r="245" spans="30:33" ht="13">
      <c r="AD245" s="3"/>
      <c r="AE245" s="3"/>
      <c r="AF245" s="3"/>
      <c r="AG245" s="3"/>
    </row>
    <row r="246" spans="30:33" ht="13">
      <c r="AD246" s="3"/>
      <c r="AE246" s="3"/>
      <c r="AF246" s="3"/>
      <c r="AG246" s="3"/>
    </row>
    <row r="247" spans="30:33" ht="13">
      <c r="AD247" s="3"/>
      <c r="AE247" s="3"/>
      <c r="AF247" s="3"/>
      <c r="AG247" s="3"/>
    </row>
    <row r="248" spans="30:33" ht="13">
      <c r="AD248" s="3"/>
      <c r="AE248" s="3"/>
      <c r="AF248" s="3"/>
      <c r="AG248" s="3"/>
    </row>
    <row r="249" spans="30:33" ht="13">
      <c r="AD249" s="3"/>
      <c r="AE249" s="3"/>
      <c r="AF249" s="3"/>
      <c r="AG249" s="3"/>
    </row>
    <row r="250" spans="30:33" ht="13">
      <c r="AD250" s="3"/>
      <c r="AE250" s="3"/>
      <c r="AF250" s="3"/>
      <c r="AG250" s="3"/>
    </row>
    <row r="251" spans="30:33" ht="13">
      <c r="AD251" s="3"/>
      <c r="AE251" s="3"/>
      <c r="AF251" s="3"/>
      <c r="AG251" s="3"/>
    </row>
    <row r="252" spans="30:33" ht="13">
      <c r="AD252" s="3"/>
      <c r="AE252" s="3"/>
      <c r="AF252" s="3"/>
      <c r="AG252" s="3"/>
    </row>
    <row r="253" spans="30:33" ht="13">
      <c r="AD253" s="3"/>
      <c r="AE253" s="3"/>
      <c r="AF253" s="3"/>
      <c r="AG253" s="3"/>
    </row>
    <row r="254" spans="30:33" ht="13">
      <c r="AD254" s="3"/>
      <c r="AE254" s="3"/>
      <c r="AF254" s="3"/>
      <c r="AG254" s="3"/>
    </row>
    <row r="255" spans="30:33" ht="13">
      <c r="AD255" s="3"/>
      <c r="AE255" s="3"/>
      <c r="AF255" s="3"/>
      <c r="AG255" s="3"/>
    </row>
    <row r="256" spans="30:33" ht="13">
      <c r="AD256" s="3"/>
      <c r="AE256" s="3"/>
      <c r="AF256" s="3"/>
      <c r="AG256" s="3"/>
    </row>
    <row r="257" spans="30:33" ht="13">
      <c r="AD257" s="3"/>
      <c r="AE257" s="3"/>
      <c r="AF257" s="3"/>
      <c r="AG257" s="3"/>
    </row>
    <row r="258" spans="30:33" ht="13">
      <c r="AD258" s="3"/>
      <c r="AE258" s="3"/>
      <c r="AF258" s="3"/>
      <c r="AG258" s="3"/>
    </row>
    <row r="259" spans="30:33" ht="13">
      <c r="AD259" s="3"/>
      <c r="AE259" s="3"/>
      <c r="AF259" s="3"/>
      <c r="AG259" s="3"/>
    </row>
    <row r="260" spans="30:33" ht="13">
      <c r="AD260" s="3"/>
      <c r="AE260" s="3"/>
      <c r="AF260" s="3"/>
      <c r="AG260" s="3"/>
    </row>
    <row r="261" spans="30:33" ht="13">
      <c r="AD261" s="3"/>
      <c r="AE261" s="3"/>
      <c r="AF261" s="3"/>
      <c r="AG261" s="3"/>
    </row>
    <row r="262" spans="30:33" ht="13">
      <c r="AD262" s="3"/>
      <c r="AE262" s="3"/>
      <c r="AF262" s="3"/>
      <c r="AG262" s="3"/>
    </row>
    <row r="263" spans="30:33" ht="13">
      <c r="AD263" s="3"/>
      <c r="AE263" s="3"/>
      <c r="AF263" s="3"/>
      <c r="AG263" s="3"/>
    </row>
    <row r="264" spans="30:33" ht="13">
      <c r="AD264" s="3"/>
      <c r="AE264" s="3"/>
      <c r="AF264" s="3"/>
      <c r="AG264" s="3"/>
    </row>
    <row r="265" spans="30:33" ht="13">
      <c r="AD265" s="3"/>
      <c r="AE265" s="3"/>
      <c r="AF265" s="3"/>
      <c r="AG265" s="3"/>
    </row>
    <row r="266" spans="30:33" ht="13">
      <c r="AD266" s="3"/>
      <c r="AE266" s="3"/>
      <c r="AF266" s="3"/>
      <c r="AG266" s="3"/>
    </row>
    <row r="267" spans="30:33" ht="13">
      <c r="AD267" s="3"/>
      <c r="AE267" s="3"/>
      <c r="AF267" s="3"/>
      <c r="AG267" s="3"/>
    </row>
    <row r="268" spans="30:33" ht="13">
      <c r="AD268" s="3"/>
      <c r="AE268" s="3"/>
      <c r="AF268" s="3"/>
      <c r="AG268" s="3"/>
    </row>
    <row r="269" spans="30:33" ht="13">
      <c r="AD269" s="3"/>
      <c r="AE269" s="3"/>
      <c r="AF269" s="3"/>
      <c r="AG269" s="3"/>
    </row>
    <row r="270" spans="30:33" ht="13">
      <c r="AD270" s="3"/>
      <c r="AE270" s="3"/>
      <c r="AF270" s="3"/>
      <c r="AG270" s="3"/>
    </row>
    <row r="271" spans="30:33" ht="13">
      <c r="AD271" s="3"/>
      <c r="AE271" s="3"/>
      <c r="AF271" s="3"/>
      <c r="AG271" s="3"/>
    </row>
    <row r="272" spans="30:33" ht="13">
      <c r="AD272" s="3"/>
      <c r="AE272" s="3"/>
      <c r="AF272" s="3"/>
      <c r="AG272" s="3"/>
    </row>
    <row r="273" spans="30:33" ht="13">
      <c r="AD273" s="3"/>
      <c r="AE273" s="3"/>
      <c r="AF273" s="3"/>
      <c r="AG273" s="3"/>
    </row>
    <row r="274" spans="30:33" ht="13">
      <c r="AD274" s="3"/>
      <c r="AE274" s="3"/>
      <c r="AF274" s="3"/>
      <c r="AG274" s="3"/>
    </row>
    <row r="275" spans="30:33" ht="13">
      <c r="AD275" s="3"/>
      <c r="AE275" s="3"/>
      <c r="AF275" s="3"/>
      <c r="AG275" s="3"/>
    </row>
    <row r="276" spans="30:33" ht="13">
      <c r="AD276" s="3"/>
      <c r="AE276" s="3"/>
      <c r="AF276" s="3"/>
      <c r="AG276" s="3"/>
    </row>
    <row r="277" spans="30:33" ht="13">
      <c r="AD277" s="3"/>
      <c r="AE277" s="3"/>
      <c r="AF277" s="3"/>
      <c r="AG277" s="3"/>
    </row>
    <row r="278" spans="30:33" ht="13">
      <c r="AD278" s="3"/>
      <c r="AE278" s="3"/>
      <c r="AF278" s="3"/>
      <c r="AG278" s="3"/>
    </row>
    <row r="279" spans="30:33" ht="13">
      <c r="AD279" s="3"/>
      <c r="AE279" s="3"/>
      <c r="AF279" s="3"/>
      <c r="AG279" s="3"/>
    </row>
    <row r="280" spans="30:33" ht="13">
      <c r="AD280" s="3"/>
      <c r="AE280" s="3"/>
      <c r="AF280" s="3"/>
      <c r="AG280" s="3"/>
    </row>
    <row r="281" spans="30:33" ht="13">
      <c r="AD281" s="3"/>
      <c r="AE281" s="3"/>
      <c r="AF281" s="3"/>
      <c r="AG281" s="3"/>
    </row>
    <row r="282" spans="30:33" ht="13">
      <c r="AD282" s="3"/>
      <c r="AE282" s="3"/>
      <c r="AF282" s="3"/>
      <c r="AG282" s="3"/>
    </row>
    <row r="283" spans="30:33" ht="13">
      <c r="AD283" s="3"/>
      <c r="AE283" s="3"/>
      <c r="AF283" s="3"/>
      <c r="AG283" s="3"/>
    </row>
    <row r="284" spans="30:33" ht="13">
      <c r="AD284" s="3"/>
      <c r="AE284" s="3"/>
      <c r="AF284" s="3"/>
      <c r="AG284" s="3"/>
    </row>
    <row r="285" spans="30:33" ht="13">
      <c r="AD285" s="3"/>
      <c r="AE285" s="3"/>
      <c r="AF285" s="3"/>
      <c r="AG285" s="3"/>
    </row>
    <row r="286" spans="30:33" ht="13">
      <c r="AD286" s="3"/>
      <c r="AE286" s="3"/>
      <c r="AF286" s="3"/>
      <c r="AG286" s="3"/>
    </row>
    <row r="287" spans="30:33" ht="13">
      <c r="AD287" s="3"/>
      <c r="AE287" s="3"/>
      <c r="AF287" s="3"/>
      <c r="AG287" s="3"/>
    </row>
    <row r="288" spans="30:33" ht="13">
      <c r="AD288" s="3"/>
      <c r="AE288" s="3"/>
      <c r="AF288" s="3"/>
      <c r="AG288" s="3"/>
    </row>
    <row r="289" spans="30:33" ht="13">
      <c r="AD289" s="3"/>
      <c r="AE289" s="3"/>
      <c r="AF289" s="3"/>
      <c r="AG289" s="3"/>
    </row>
    <row r="290" spans="30:33" ht="13">
      <c r="AD290" s="3"/>
      <c r="AE290" s="3"/>
      <c r="AF290" s="3"/>
      <c r="AG290" s="3"/>
    </row>
    <row r="291" spans="30:33" ht="13">
      <c r="AD291" s="3"/>
      <c r="AE291" s="3"/>
      <c r="AF291" s="3"/>
      <c r="AG291" s="3"/>
    </row>
    <row r="292" spans="30:33" ht="13">
      <c r="AD292" s="3"/>
      <c r="AE292" s="3"/>
      <c r="AF292" s="3"/>
      <c r="AG292" s="3"/>
    </row>
    <row r="293" spans="30:33" ht="13">
      <c r="AD293" s="3"/>
      <c r="AE293" s="3"/>
      <c r="AF293" s="3"/>
      <c r="AG293" s="3"/>
    </row>
    <row r="294" spans="30:33" ht="13">
      <c r="AD294" s="3"/>
      <c r="AE294" s="3"/>
      <c r="AF294" s="3"/>
      <c r="AG294" s="3"/>
    </row>
    <row r="295" spans="30:33" ht="13">
      <c r="AD295" s="3"/>
      <c r="AE295" s="3"/>
      <c r="AF295" s="3"/>
      <c r="AG295" s="3"/>
    </row>
    <row r="296" spans="30:33" ht="13">
      <c r="AD296" s="3"/>
      <c r="AE296" s="3"/>
      <c r="AF296" s="3"/>
      <c r="AG296" s="3"/>
    </row>
    <row r="297" spans="30:33" ht="13">
      <c r="AD297" s="3"/>
      <c r="AE297" s="3"/>
      <c r="AF297" s="3"/>
      <c r="AG297" s="3"/>
    </row>
    <row r="298" spans="30:33" ht="13">
      <c r="AD298" s="3"/>
      <c r="AE298" s="3"/>
      <c r="AF298" s="3"/>
      <c r="AG298" s="3"/>
    </row>
    <row r="299" spans="30:33" ht="13">
      <c r="AD299" s="3"/>
      <c r="AE299" s="3"/>
      <c r="AF299" s="3"/>
      <c r="AG299" s="3"/>
    </row>
    <row r="300" spans="30:33" ht="13">
      <c r="AD300" s="3"/>
      <c r="AE300" s="3"/>
      <c r="AF300" s="3"/>
      <c r="AG300" s="3"/>
    </row>
    <row r="301" spans="30:33" ht="13">
      <c r="AD301" s="3"/>
      <c r="AE301" s="3"/>
      <c r="AF301" s="3"/>
      <c r="AG301" s="3"/>
    </row>
    <row r="302" spans="30:33" ht="13">
      <c r="AD302" s="3"/>
      <c r="AE302" s="3"/>
      <c r="AF302" s="3"/>
      <c r="AG302" s="3"/>
    </row>
    <row r="303" spans="30:33" ht="13">
      <c r="AD303" s="3"/>
      <c r="AE303" s="3"/>
      <c r="AF303" s="3"/>
      <c r="AG303" s="3"/>
    </row>
    <row r="304" spans="30:33" ht="13">
      <c r="AD304" s="3"/>
      <c r="AE304" s="3"/>
      <c r="AF304" s="3"/>
      <c r="AG304" s="3"/>
    </row>
    <row r="305" spans="30:33" ht="13">
      <c r="AD305" s="3"/>
      <c r="AE305" s="3"/>
      <c r="AF305" s="3"/>
      <c r="AG305" s="3"/>
    </row>
    <row r="306" spans="30:33" ht="13">
      <c r="AD306" s="3"/>
      <c r="AE306" s="3"/>
      <c r="AF306" s="3"/>
      <c r="AG306" s="3"/>
    </row>
    <row r="307" spans="30:33" ht="13">
      <c r="AD307" s="3"/>
      <c r="AE307" s="3"/>
      <c r="AF307" s="3"/>
      <c r="AG307" s="3"/>
    </row>
    <row r="308" spans="30:33" ht="13">
      <c r="AD308" s="3"/>
      <c r="AE308" s="3"/>
      <c r="AF308" s="3"/>
      <c r="AG308" s="3"/>
    </row>
    <row r="309" spans="30:33" ht="13">
      <c r="AD309" s="3"/>
      <c r="AE309" s="3"/>
      <c r="AF309" s="3"/>
      <c r="AG309" s="3"/>
    </row>
    <row r="310" spans="30:33" ht="13">
      <c r="AD310" s="3"/>
      <c r="AE310" s="3"/>
      <c r="AF310" s="3"/>
      <c r="AG310" s="3"/>
    </row>
    <row r="311" spans="30:33" ht="13">
      <c r="AD311" s="3"/>
      <c r="AE311" s="3"/>
      <c r="AF311" s="3"/>
      <c r="AG311" s="3"/>
    </row>
    <row r="312" spans="30:33" ht="13">
      <c r="AD312" s="3"/>
      <c r="AE312" s="3"/>
      <c r="AF312" s="3"/>
      <c r="AG312" s="3"/>
    </row>
    <row r="313" spans="30:33" ht="13">
      <c r="AD313" s="3"/>
      <c r="AE313" s="3"/>
      <c r="AF313" s="3"/>
      <c r="AG313" s="3"/>
    </row>
    <row r="314" spans="30:33" ht="13">
      <c r="AD314" s="3"/>
      <c r="AE314" s="3"/>
      <c r="AF314" s="3"/>
      <c r="AG314" s="3"/>
    </row>
    <row r="315" spans="30:33" ht="13">
      <c r="AD315" s="3"/>
      <c r="AE315" s="3"/>
      <c r="AF315" s="3"/>
      <c r="AG315" s="3"/>
    </row>
    <row r="316" spans="30:33" ht="13">
      <c r="AD316" s="3"/>
      <c r="AE316" s="3"/>
      <c r="AF316" s="3"/>
      <c r="AG316" s="3"/>
    </row>
    <row r="317" spans="30:33" ht="13">
      <c r="AD317" s="3"/>
      <c r="AE317" s="3"/>
      <c r="AF317" s="3"/>
      <c r="AG317" s="3"/>
    </row>
    <row r="318" spans="30:33" ht="13">
      <c r="AD318" s="3"/>
      <c r="AE318" s="3"/>
      <c r="AF318" s="3"/>
      <c r="AG318" s="3"/>
    </row>
    <row r="319" spans="30:33" ht="13">
      <c r="AD319" s="3"/>
      <c r="AE319" s="3"/>
      <c r="AF319" s="3"/>
      <c r="AG319" s="3"/>
    </row>
    <row r="320" spans="30:33" ht="13">
      <c r="AD320" s="3"/>
      <c r="AE320" s="3"/>
      <c r="AF320" s="3"/>
      <c r="AG320" s="3"/>
    </row>
    <row r="321" spans="30:33" ht="13">
      <c r="AD321" s="3"/>
      <c r="AE321" s="3"/>
      <c r="AF321" s="3"/>
      <c r="AG321" s="3"/>
    </row>
    <row r="322" spans="30:33" ht="13">
      <c r="AD322" s="3"/>
      <c r="AE322" s="3"/>
      <c r="AF322" s="3"/>
      <c r="AG322" s="3"/>
    </row>
    <row r="323" spans="30:33" ht="13">
      <c r="AD323" s="3"/>
      <c r="AE323" s="3"/>
      <c r="AF323" s="3"/>
      <c r="AG323" s="3"/>
    </row>
    <row r="324" spans="30:33" ht="13">
      <c r="AD324" s="3"/>
      <c r="AE324" s="3"/>
      <c r="AF324" s="3"/>
      <c r="AG324" s="3"/>
    </row>
    <row r="325" spans="30:33" ht="13">
      <c r="AD325" s="3"/>
      <c r="AE325" s="3"/>
      <c r="AF325" s="3"/>
      <c r="AG325" s="3"/>
    </row>
    <row r="326" spans="30:33" ht="13">
      <c r="AD326" s="3"/>
      <c r="AE326" s="3"/>
      <c r="AF326" s="3"/>
      <c r="AG326" s="3"/>
    </row>
    <row r="327" spans="30:33" ht="13">
      <c r="AD327" s="3"/>
      <c r="AE327" s="3"/>
      <c r="AF327" s="3"/>
      <c r="AG327" s="3"/>
    </row>
    <row r="328" spans="30:33" ht="13">
      <c r="AD328" s="3"/>
      <c r="AE328" s="3"/>
      <c r="AF328" s="3"/>
      <c r="AG328" s="3"/>
    </row>
    <row r="329" spans="30:33" ht="13">
      <c r="AD329" s="3"/>
      <c r="AE329" s="3"/>
      <c r="AF329" s="3"/>
      <c r="AG329" s="3"/>
    </row>
    <row r="330" spans="30:33" ht="13">
      <c r="AD330" s="3"/>
      <c r="AE330" s="3"/>
      <c r="AF330" s="3"/>
      <c r="AG330" s="3"/>
    </row>
    <row r="331" spans="30:33" ht="13">
      <c r="AD331" s="3"/>
      <c r="AE331" s="3"/>
      <c r="AF331" s="3"/>
      <c r="AG331" s="3"/>
    </row>
    <row r="332" spans="30:33" ht="13">
      <c r="AD332" s="3"/>
      <c r="AE332" s="3"/>
      <c r="AF332" s="3"/>
      <c r="AG332" s="3"/>
    </row>
    <row r="333" spans="30:33" ht="13">
      <c r="AD333" s="3"/>
      <c r="AE333" s="3"/>
      <c r="AF333" s="3"/>
      <c r="AG333" s="3"/>
    </row>
    <row r="334" spans="30:33" ht="13">
      <c r="AD334" s="3"/>
      <c r="AE334" s="3"/>
      <c r="AF334" s="3"/>
      <c r="AG334" s="3"/>
    </row>
    <row r="335" spans="30:33" ht="13">
      <c r="AD335" s="3"/>
      <c r="AE335" s="3"/>
      <c r="AF335" s="3"/>
      <c r="AG335" s="3"/>
    </row>
    <row r="336" spans="30:33" ht="13">
      <c r="AD336" s="3"/>
      <c r="AE336" s="3"/>
      <c r="AF336" s="3"/>
      <c r="AG336" s="3"/>
    </row>
    <row r="337" spans="30:33" ht="13">
      <c r="AD337" s="3"/>
      <c r="AE337" s="3"/>
      <c r="AF337" s="3"/>
      <c r="AG337" s="3"/>
    </row>
    <row r="338" spans="30:33" ht="13">
      <c r="AD338" s="3"/>
      <c r="AE338" s="3"/>
      <c r="AF338" s="3"/>
      <c r="AG338" s="3"/>
    </row>
    <row r="339" spans="30:33" ht="13">
      <c r="AD339" s="3"/>
      <c r="AE339" s="3"/>
      <c r="AF339" s="3"/>
      <c r="AG339" s="3"/>
    </row>
    <row r="340" spans="30:33" ht="13">
      <c r="AD340" s="3"/>
      <c r="AE340" s="3"/>
      <c r="AF340" s="3"/>
      <c r="AG340" s="3"/>
    </row>
    <row r="341" spans="30:33" ht="13">
      <c r="AD341" s="3"/>
      <c r="AE341" s="3"/>
      <c r="AF341" s="3"/>
      <c r="AG341" s="3"/>
    </row>
    <row r="342" spans="30:33" ht="13">
      <c r="AD342" s="3"/>
      <c r="AE342" s="3"/>
      <c r="AF342" s="3"/>
      <c r="AG342" s="3"/>
    </row>
    <row r="343" spans="30:33" ht="13">
      <c r="AD343" s="3"/>
      <c r="AE343" s="3"/>
      <c r="AF343" s="3"/>
      <c r="AG343" s="3"/>
    </row>
    <row r="344" spans="30:33" ht="13">
      <c r="AD344" s="3"/>
      <c r="AE344" s="3"/>
      <c r="AF344" s="3"/>
      <c r="AG344" s="3"/>
    </row>
    <row r="345" spans="30:33" ht="13">
      <c r="AD345" s="3"/>
      <c r="AE345" s="3"/>
      <c r="AF345" s="3"/>
      <c r="AG345" s="3"/>
    </row>
    <row r="346" spans="30:33" ht="13">
      <c r="AD346" s="3"/>
      <c r="AE346" s="3"/>
      <c r="AF346" s="3"/>
      <c r="AG346" s="3"/>
    </row>
    <row r="347" spans="30:33" ht="13">
      <c r="AD347" s="3"/>
      <c r="AE347" s="3"/>
      <c r="AF347" s="3"/>
      <c r="AG347" s="3"/>
    </row>
    <row r="348" spans="30:33" ht="13">
      <c r="AD348" s="3"/>
      <c r="AE348" s="3"/>
      <c r="AF348" s="3"/>
      <c r="AG348" s="3"/>
    </row>
    <row r="349" spans="30:33" ht="13">
      <c r="AD349" s="3"/>
      <c r="AE349" s="3"/>
      <c r="AF349" s="3"/>
      <c r="AG349" s="3"/>
    </row>
    <row r="350" spans="30:33" ht="13">
      <c r="AD350" s="3"/>
      <c r="AE350" s="3"/>
      <c r="AF350" s="3"/>
      <c r="AG350" s="3"/>
    </row>
    <row r="351" spans="30:33" ht="13">
      <c r="AD351" s="3"/>
      <c r="AE351" s="3"/>
      <c r="AF351" s="3"/>
      <c r="AG351" s="3"/>
    </row>
    <row r="352" spans="30:33" ht="13">
      <c r="AD352" s="3"/>
      <c r="AE352" s="3"/>
      <c r="AF352" s="3"/>
      <c r="AG352" s="3"/>
    </row>
    <row r="353" spans="30:33" ht="13">
      <c r="AD353" s="3"/>
      <c r="AE353" s="3"/>
      <c r="AF353" s="3"/>
      <c r="AG353" s="3"/>
    </row>
    <row r="354" spans="30:33" ht="13">
      <c r="AD354" s="3"/>
      <c r="AE354" s="3"/>
      <c r="AF354" s="3"/>
      <c r="AG354" s="3"/>
    </row>
    <row r="355" spans="30:33" ht="13">
      <c r="AD355" s="3"/>
      <c r="AE355" s="3"/>
      <c r="AF355" s="3"/>
      <c r="AG355" s="3"/>
    </row>
    <row r="356" spans="30:33" ht="13">
      <c r="AD356" s="3"/>
      <c r="AE356" s="3"/>
      <c r="AF356" s="3"/>
      <c r="AG356" s="3"/>
    </row>
    <row r="357" spans="30:33" ht="13">
      <c r="AD357" s="3"/>
      <c r="AE357" s="3"/>
      <c r="AF357" s="3"/>
      <c r="AG357" s="3"/>
    </row>
    <row r="358" spans="30:33" ht="13">
      <c r="AD358" s="3"/>
      <c r="AE358" s="3"/>
      <c r="AF358" s="3"/>
      <c r="AG358" s="3"/>
    </row>
    <row r="359" spans="30:33" ht="13">
      <c r="AD359" s="3"/>
      <c r="AE359" s="3"/>
      <c r="AF359" s="3"/>
      <c r="AG359" s="3"/>
    </row>
    <row r="360" spans="30:33" ht="13">
      <c r="AD360" s="3"/>
      <c r="AE360" s="3"/>
      <c r="AF360" s="3"/>
      <c r="AG360" s="3"/>
    </row>
    <row r="361" spans="30:33" ht="13">
      <c r="AD361" s="3"/>
      <c r="AE361" s="3"/>
      <c r="AF361" s="3"/>
      <c r="AG361" s="3"/>
    </row>
    <row r="362" spans="30:33" ht="13">
      <c r="AD362" s="3"/>
      <c r="AE362" s="3"/>
      <c r="AF362" s="3"/>
      <c r="AG362" s="3"/>
    </row>
    <row r="363" spans="30:33" ht="13">
      <c r="AD363" s="3"/>
      <c r="AE363" s="3"/>
      <c r="AF363" s="3"/>
      <c r="AG363" s="3"/>
    </row>
    <row r="364" spans="30:33" ht="13">
      <c r="AD364" s="3"/>
      <c r="AE364" s="3"/>
      <c r="AF364" s="3"/>
      <c r="AG364" s="3"/>
    </row>
    <row r="365" spans="30:33" ht="13">
      <c r="AD365" s="3"/>
      <c r="AE365" s="3"/>
      <c r="AF365" s="3"/>
      <c r="AG365" s="3"/>
    </row>
    <row r="366" spans="30:33" ht="13">
      <c r="AD366" s="3"/>
      <c r="AE366" s="3"/>
      <c r="AF366" s="3"/>
      <c r="AG366" s="3"/>
    </row>
    <row r="367" spans="30:33" ht="13">
      <c r="AD367" s="3"/>
      <c r="AE367" s="3"/>
      <c r="AF367" s="3"/>
      <c r="AG367" s="3"/>
    </row>
    <row r="368" spans="30:33" ht="13">
      <c r="AD368" s="3"/>
      <c r="AE368" s="3"/>
      <c r="AF368" s="3"/>
      <c r="AG368" s="3"/>
    </row>
    <row r="369" spans="30:33" ht="13">
      <c r="AD369" s="3"/>
      <c r="AE369" s="3"/>
      <c r="AF369" s="3"/>
      <c r="AG369" s="3"/>
    </row>
    <row r="370" spans="30:33" ht="13">
      <c r="AD370" s="3"/>
      <c r="AE370" s="3"/>
      <c r="AF370" s="3"/>
      <c r="AG370" s="3"/>
    </row>
    <row r="371" spans="30:33" ht="13">
      <c r="AD371" s="3"/>
      <c r="AE371" s="3"/>
      <c r="AF371" s="3"/>
      <c r="AG371" s="3"/>
    </row>
    <row r="372" spans="30:33" ht="13">
      <c r="AD372" s="3"/>
      <c r="AE372" s="3"/>
      <c r="AF372" s="3"/>
      <c r="AG372" s="3"/>
    </row>
    <row r="373" spans="30:33" ht="13">
      <c r="AD373" s="3"/>
      <c r="AE373" s="3"/>
      <c r="AF373" s="3"/>
      <c r="AG373" s="3"/>
    </row>
    <row r="374" spans="30:33" ht="13">
      <c r="AD374" s="3"/>
      <c r="AE374" s="3"/>
      <c r="AF374" s="3"/>
      <c r="AG374" s="3"/>
    </row>
    <row r="375" spans="30:33" ht="13">
      <c r="AD375" s="3"/>
      <c r="AE375" s="3"/>
      <c r="AF375" s="3"/>
      <c r="AG375" s="3"/>
    </row>
    <row r="376" spans="30:33" ht="13">
      <c r="AD376" s="3"/>
      <c r="AE376" s="3"/>
      <c r="AF376" s="3"/>
      <c r="AG376" s="3"/>
    </row>
    <row r="377" spans="30:33" ht="13">
      <c r="AD377" s="3"/>
      <c r="AE377" s="3"/>
      <c r="AF377" s="3"/>
      <c r="AG377" s="3"/>
    </row>
    <row r="378" spans="30:33" ht="13">
      <c r="AD378" s="3"/>
      <c r="AE378" s="3"/>
      <c r="AF378" s="3"/>
      <c r="AG378" s="3"/>
    </row>
    <row r="379" spans="30:33" ht="13">
      <c r="AD379" s="3"/>
      <c r="AE379" s="3"/>
      <c r="AF379" s="3"/>
      <c r="AG379" s="3"/>
    </row>
    <row r="380" spans="30:33" ht="13">
      <c r="AD380" s="3"/>
      <c r="AE380" s="3"/>
      <c r="AF380" s="3"/>
      <c r="AG380" s="3"/>
    </row>
    <row r="381" spans="30:33" ht="13">
      <c r="AD381" s="3"/>
      <c r="AE381" s="3"/>
      <c r="AF381" s="3"/>
      <c r="AG381" s="3"/>
    </row>
    <row r="382" spans="30:33" ht="13">
      <c r="AD382" s="3"/>
      <c r="AE382" s="3"/>
      <c r="AF382" s="3"/>
      <c r="AG382" s="3"/>
    </row>
    <row r="383" spans="30:33" ht="13">
      <c r="AD383" s="3"/>
      <c r="AE383" s="3"/>
      <c r="AF383" s="3"/>
      <c r="AG383" s="3"/>
    </row>
    <row r="384" spans="30:33" ht="13">
      <c r="AD384" s="3"/>
      <c r="AE384" s="3"/>
      <c r="AF384" s="3"/>
      <c r="AG384" s="3"/>
    </row>
    <row r="385" spans="30:33" ht="13">
      <c r="AD385" s="3"/>
      <c r="AE385" s="3"/>
      <c r="AF385" s="3"/>
      <c r="AG385" s="3"/>
    </row>
    <row r="386" spans="30:33" ht="13">
      <c r="AD386" s="3"/>
      <c r="AE386" s="3"/>
      <c r="AF386" s="3"/>
      <c r="AG386" s="3"/>
    </row>
    <row r="387" spans="30:33" ht="13">
      <c r="AD387" s="3"/>
      <c r="AE387" s="3"/>
      <c r="AF387" s="3"/>
      <c r="AG387" s="3"/>
    </row>
    <row r="388" spans="30:33" ht="13">
      <c r="AD388" s="3"/>
      <c r="AE388" s="3"/>
      <c r="AF388" s="3"/>
      <c r="AG388" s="3"/>
    </row>
    <row r="389" spans="30:33" ht="13">
      <c r="AD389" s="3"/>
      <c r="AE389" s="3"/>
      <c r="AF389" s="3"/>
      <c r="AG389" s="3"/>
    </row>
    <row r="390" spans="30:33" ht="13">
      <c r="AD390" s="3"/>
      <c r="AE390" s="3"/>
      <c r="AF390" s="3"/>
      <c r="AG390" s="3"/>
    </row>
    <row r="391" spans="30:33" ht="13">
      <c r="AD391" s="3"/>
      <c r="AE391" s="3"/>
      <c r="AF391" s="3"/>
      <c r="AG391" s="3"/>
    </row>
    <row r="392" spans="30:33" ht="13">
      <c r="AD392" s="3"/>
      <c r="AE392" s="3"/>
      <c r="AF392" s="3"/>
      <c r="AG392" s="3"/>
    </row>
    <row r="393" spans="30:33" ht="13">
      <c r="AD393" s="3"/>
      <c r="AE393" s="3"/>
      <c r="AF393" s="3"/>
      <c r="AG393" s="3"/>
    </row>
    <row r="394" spans="30:33" ht="13">
      <c r="AD394" s="3"/>
      <c r="AE394" s="3"/>
      <c r="AF394" s="3"/>
      <c r="AG394" s="3"/>
    </row>
    <row r="395" spans="30:33" ht="13">
      <c r="AD395" s="3"/>
      <c r="AE395" s="3"/>
      <c r="AF395" s="3"/>
      <c r="AG395" s="3"/>
    </row>
    <row r="396" spans="30:33" ht="13">
      <c r="AD396" s="3"/>
      <c r="AE396" s="3"/>
      <c r="AF396" s="3"/>
      <c r="AG396" s="3"/>
    </row>
    <row r="397" spans="30:33" ht="13">
      <c r="AD397" s="3"/>
      <c r="AE397" s="3"/>
      <c r="AF397" s="3"/>
      <c r="AG397" s="3"/>
    </row>
    <row r="398" spans="30:33" ht="13">
      <c r="AD398" s="3"/>
      <c r="AE398" s="3"/>
      <c r="AF398" s="3"/>
      <c r="AG398" s="3"/>
    </row>
    <row r="399" spans="30:33" ht="13">
      <c r="AD399" s="3"/>
      <c r="AE399" s="3"/>
      <c r="AF399" s="3"/>
      <c r="AG399" s="3"/>
    </row>
    <row r="400" spans="30:33" ht="13">
      <c r="AD400" s="3"/>
      <c r="AE400" s="3"/>
      <c r="AF400" s="3"/>
      <c r="AG400" s="3"/>
    </row>
    <row r="401" spans="30:33" ht="13">
      <c r="AD401" s="3"/>
      <c r="AE401" s="3"/>
      <c r="AF401" s="3"/>
      <c r="AG401" s="3"/>
    </row>
    <row r="402" spans="30:33" ht="13">
      <c r="AD402" s="3"/>
      <c r="AE402" s="3"/>
      <c r="AF402" s="3"/>
      <c r="AG402" s="3"/>
    </row>
    <row r="403" spans="30:33" ht="13">
      <c r="AD403" s="3"/>
      <c r="AE403" s="3"/>
      <c r="AF403" s="3"/>
      <c r="AG403" s="3"/>
    </row>
    <row r="404" spans="30:33" ht="13">
      <c r="AD404" s="3"/>
      <c r="AE404" s="3"/>
      <c r="AF404" s="3"/>
      <c r="AG404" s="3"/>
    </row>
    <row r="405" spans="30:33" ht="13">
      <c r="AD405" s="3"/>
      <c r="AE405" s="3"/>
      <c r="AF405" s="3"/>
      <c r="AG405" s="3"/>
    </row>
    <row r="406" spans="30:33" ht="13">
      <c r="AD406" s="3"/>
      <c r="AE406" s="3"/>
      <c r="AF406" s="3"/>
      <c r="AG406" s="3"/>
    </row>
    <row r="407" spans="30:33" ht="13">
      <c r="AD407" s="3"/>
      <c r="AE407" s="3"/>
      <c r="AF407" s="3"/>
      <c r="AG407" s="3"/>
    </row>
    <row r="408" spans="30:33" ht="13">
      <c r="AD408" s="3"/>
      <c r="AE408" s="3"/>
      <c r="AF408" s="3"/>
      <c r="AG408" s="3"/>
    </row>
    <row r="409" spans="30:33" ht="13">
      <c r="AD409" s="3"/>
      <c r="AE409" s="3"/>
      <c r="AF409" s="3"/>
      <c r="AG409" s="3"/>
    </row>
    <row r="410" spans="30:33" ht="13">
      <c r="AD410" s="3"/>
      <c r="AE410" s="3"/>
      <c r="AF410" s="3"/>
      <c r="AG410" s="3"/>
    </row>
    <row r="411" spans="30:33" ht="13">
      <c r="AD411" s="3"/>
      <c r="AE411" s="3"/>
      <c r="AF411" s="3"/>
      <c r="AG411" s="3"/>
    </row>
    <row r="412" spans="30:33" ht="13">
      <c r="AD412" s="3"/>
      <c r="AE412" s="3"/>
      <c r="AF412" s="3"/>
      <c r="AG412" s="3"/>
    </row>
    <row r="413" spans="30:33" ht="13">
      <c r="AD413" s="3"/>
      <c r="AE413" s="3"/>
      <c r="AF413" s="3"/>
      <c r="AG413" s="3"/>
    </row>
    <row r="414" spans="30:33" ht="13">
      <c r="AD414" s="3"/>
      <c r="AE414" s="3"/>
      <c r="AF414" s="3"/>
      <c r="AG414" s="3"/>
    </row>
    <row r="415" spans="30:33" ht="13">
      <c r="AD415" s="3"/>
      <c r="AE415" s="3"/>
      <c r="AF415" s="3"/>
      <c r="AG415" s="3"/>
    </row>
    <row r="416" spans="30:33" ht="13">
      <c r="AD416" s="3"/>
      <c r="AE416" s="3"/>
      <c r="AF416" s="3"/>
      <c r="AG416" s="3"/>
    </row>
    <row r="417" spans="30:33" ht="13">
      <c r="AD417" s="3"/>
      <c r="AE417" s="3"/>
      <c r="AF417" s="3"/>
      <c r="AG417" s="3"/>
    </row>
    <row r="418" spans="30:33" ht="13">
      <c r="AD418" s="3"/>
      <c r="AE418" s="3"/>
      <c r="AF418" s="3"/>
      <c r="AG418" s="3"/>
    </row>
    <row r="419" spans="30:33" ht="13">
      <c r="AD419" s="3"/>
      <c r="AE419" s="3"/>
      <c r="AF419" s="3"/>
      <c r="AG419" s="3"/>
    </row>
    <row r="420" spans="30:33" ht="13">
      <c r="AD420" s="3"/>
      <c r="AE420" s="3"/>
      <c r="AF420" s="3"/>
      <c r="AG420" s="3"/>
    </row>
    <row r="421" spans="30:33" ht="13">
      <c r="AD421" s="3"/>
      <c r="AE421" s="3"/>
      <c r="AF421" s="3"/>
      <c r="AG421" s="3"/>
    </row>
    <row r="422" spans="30:33" ht="13">
      <c r="AD422" s="3"/>
      <c r="AE422" s="3"/>
      <c r="AF422" s="3"/>
      <c r="AG422" s="3"/>
    </row>
    <row r="423" spans="30:33" ht="13">
      <c r="AD423" s="3"/>
      <c r="AE423" s="3"/>
      <c r="AF423" s="3"/>
      <c r="AG423" s="3"/>
    </row>
    <row r="424" spans="30:33" ht="13">
      <c r="AD424" s="3"/>
      <c r="AE424" s="3"/>
      <c r="AF424" s="3"/>
      <c r="AG424" s="3"/>
    </row>
    <row r="425" spans="30:33" ht="13">
      <c r="AD425" s="3"/>
      <c r="AE425" s="3"/>
      <c r="AF425" s="3"/>
      <c r="AG425" s="3"/>
    </row>
    <row r="426" spans="30:33" ht="13">
      <c r="AD426" s="3"/>
      <c r="AE426" s="3"/>
      <c r="AF426" s="3"/>
      <c r="AG426" s="3"/>
    </row>
    <row r="427" spans="30:33" ht="13">
      <c r="AD427" s="3"/>
      <c r="AE427" s="3"/>
      <c r="AF427" s="3"/>
      <c r="AG427" s="3"/>
    </row>
    <row r="428" spans="30:33" ht="13">
      <c r="AD428" s="3"/>
      <c r="AE428" s="3"/>
      <c r="AF428" s="3"/>
      <c r="AG428" s="3"/>
    </row>
    <row r="429" spans="30:33" ht="13">
      <c r="AD429" s="3"/>
      <c r="AE429" s="3"/>
      <c r="AF429" s="3"/>
      <c r="AG429" s="3"/>
    </row>
    <row r="430" spans="30:33" ht="13">
      <c r="AD430" s="3"/>
      <c r="AE430" s="3"/>
      <c r="AF430" s="3"/>
      <c r="AG430" s="3"/>
    </row>
    <row r="431" spans="30:33" ht="13">
      <c r="AD431" s="3"/>
      <c r="AE431" s="3"/>
      <c r="AF431" s="3"/>
      <c r="AG431" s="3"/>
    </row>
    <row r="432" spans="30:33" ht="13">
      <c r="AD432" s="3"/>
      <c r="AE432" s="3"/>
      <c r="AF432" s="3"/>
      <c r="AG432" s="3"/>
    </row>
    <row r="433" spans="30:33" ht="13">
      <c r="AD433" s="3"/>
      <c r="AE433" s="3"/>
      <c r="AF433" s="3"/>
      <c r="AG433" s="3"/>
    </row>
    <row r="434" spans="30:33" ht="13">
      <c r="AD434" s="3"/>
      <c r="AE434" s="3"/>
      <c r="AF434" s="3"/>
      <c r="AG434" s="3"/>
    </row>
    <row r="435" spans="30:33" ht="13">
      <c r="AD435" s="3"/>
      <c r="AE435" s="3"/>
      <c r="AF435" s="3"/>
      <c r="AG435" s="3"/>
    </row>
    <row r="436" spans="30:33" ht="13">
      <c r="AD436" s="3"/>
      <c r="AE436" s="3"/>
      <c r="AF436" s="3"/>
      <c r="AG436" s="3"/>
    </row>
    <row r="437" spans="30:33" ht="13">
      <c r="AD437" s="3"/>
      <c r="AE437" s="3"/>
      <c r="AF437" s="3"/>
      <c r="AG437" s="3"/>
    </row>
    <row r="438" spans="30:33" ht="13">
      <c r="AD438" s="3"/>
      <c r="AE438" s="3"/>
      <c r="AF438" s="3"/>
      <c r="AG438" s="3"/>
    </row>
    <row r="439" spans="30:33" ht="13">
      <c r="AD439" s="3"/>
      <c r="AE439" s="3"/>
      <c r="AF439" s="3"/>
      <c r="AG439" s="3"/>
    </row>
    <row r="440" spans="30:33" ht="13">
      <c r="AD440" s="3"/>
      <c r="AE440" s="3"/>
      <c r="AF440" s="3"/>
      <c r="AG440" s="3"/>
    </row>
    <row r="441" spans="30:33" ht="13">
      <c r="AD441" s="3"/>
      <c r="AE441" s="3"/>
      <c r="AF441" s="3"/>
      <c r="AG441" s="3"/>
    </row>
    <row r="442" spans="30:33" ht="13">
      <c r="AD442" s="3"/>
      <c r="AE442" s="3"/>
      <c r="AF442" s="3"/>
      <c r="AG442" s="3"/>
    </row>
    <row r="443" spans="30:33" ht="13">
      <c r="AD443" s="3"/>
      <c r="AE443" s="3"/>
      <c r="AF443" s="3"/>
      <c r="AG443" s="3"/>
    </row>
    <row r="444" spans="30:33" ht="13">
      <c r="AD444" s="3"/>
      <c r="AE444" s="3"/>
      <c r="AF444" s="3"/>
      <c r="AG444" s="3"/>
    </row>
    <row r="445" spans="30:33" ht="13">
      <c r="AD445" s="3"/>
      <c r="AE445" s="3"/>
      <c r="AF445" s="3"/>
      <c r="AG445" s="3"/>
    </row>
    <row r="446" spans="30:33" ht="13">
      <c r="AD446" s="3"/>
      <c r="AE446" s="3"/>
      <c r="AF446" s="3"/>
      <c r="AG446" s="3"/>
    </row>
    <row r="447" spans="30:33" ht="13">
      <c r="AD447" s="3"/>
      <c r="AE447" s="3"/>
      <c r="AF447" s="3"/>
      <c r="AG447" s="3"/>
    </row>
    <row r="448" spans="30:33" ht="13">
      <c r="AD448" s="3"/>
      <c r="AE448" s="3"/>
      <c r="AF448" s="3"/>
      <c r="AG448" s="3"/>
    </row>
    <row r="449" spans="30:33" ht="13">
      <c r="AD449" s="3"/>
      <c r="AE449" s="3"/>
      <c r="AF449" s="3"/>
      <c r="AG449" s="3"/>
    </row>
    <row r="450" spans="30:33" ht="13">
      <c r="AD450" s="3"/>
      <c r="AE450" s="3"/>
      <c r="AF450" s="3"/>
      <c r="AG450" s="3"/>
    </row>
    <row r="451" spans="30:33" ht="13">
      <c r="AD451" s="3"/>
      <c r="AE451" s="3"/>
      <c r="AF451" s="3"/>
      <c r="AG451" s="3"/>
    </row>
    <row r="452" spans="30:33" ht="13">
      <c r="AD452" s="3"/>
      <c r="AE452" s="3"/>
      <c r="AF452" s="3"/>
      <c r="AG452" s="3"/>
    </row>
    <row r="453" spans="30:33" ht="13">
      <c r="AD453" s="3"/>
      <c r="AE453" s="3"/>
      <c r="AF453" s="3"/>
      <c r="AG453" s="3"/>
    </row>
    <row r="454" spans="30:33" ht="13">
      <c r="AD454" s="3"/>
      <c r="AE454" s="3"/>
      <c r="AF454" s="3"/>
      <c r="AG454" s="3"/>
    </row>
    <row r="455" spans="30:33" ht="13">
      <c r="AD455" s="3"/>
      <c r="AE455" s="3"/>
      <c r="AF455" s="3"/>
      <c r="AG455" s="3"/>
    </row>
    <row r="456" spans="30:33" ht="13">
      <c r="AD456" s="3"/>
      <c r="AE456" s="3"/>
      <c r="AF456" s="3"/>
      <c r="AG456" s="3"/>
    </row>
    <row r="457" spans="30:33" ht="13">
      <c r="AD457" s="3"/>
      <c r="AE457" s="3"/>
      <c r="AF457" s="3"/>
      <c r="AG457" s="3"/>
    </row>
    <row r="458" spans="30:33" ht="13">
      <c r="AD458" s="3"/>
      <c r="AE458" s="3"/>
      <c r="AF458" s="3"/>
      <c r="AG458" s="3"/>
    </row>
    <row r="459" spans="30:33" ht="13">
      <c r="AD459" s="3"/>
      <c r="AE459" s="3"/>
      <c r="AF459" s="3"/>
      <c r="AG459" s="3"/>
    </row>
    <row r="460" spans="30:33" ht="13">
      <c r="AD460" s="3"/>
      <c r="AE460" s="3"/>
      <c r="AF460" s="3"/>
      <c r="AG460" s="3"/>
    </row>
    <row r="461" spans="30:33" ht="13">
      <c r="AD461" s="3"/>
      <c r="AE461" s="3"/>
      <c r="AF461" s="3"/>
      <c r="AG461" s="3"/>
    </row>
    <row r="462" spans="30:33" ht="13">
      <c r="AD462" s="3"/>
      <c r="AE462" s="3"/>
      <c r="AF462" s="3"/>
      <c r="AG462" s="3"/>
    </row>
    <row r="463" spans="30:33" ht="13">
      <c r="AD463" s="3"/>
      <c r="AE463" s="3"/>
      <c r="AF463" s="3"/>
      <c r="AG463" s="3"/>
    </row>
    <row r="464" spans="30:33" ht="13">
      <c r="AD464" s="3"/>
      <c r="AE464" s="3"/>
      <c r="AF464" s="3"/>
      <c r="AG464" s="3"/>
    </row>
    <row r="465" spans="30:33" ht="13">
      <c r="AD465" s="3"/>
      <c r="AE465" s="3"/>
      <c r="AF465" s="3"/>
      <c r="AG465" s="3"/>
    </row>
    <row r="466" spans="30:33" ht="13">
      <c r="AD466" s="3"/>
      <c r="AE466" s="3"/>
      <c r="AF466" s="3"/>
      <c r="AG466" s="3"/>
    </row>
    <row r="467" spans="30:33" ht="13">
      <c r="AD467" s="3"/>
      <c r="AE467" s="3"/>
      <c r="AF467" s="3"/>
      <c r="AG467" s="3"/>
    </row>
    <row r="468" spans="30:33" ht="13">
      <c r="AD468" s="3"/>
      <c r="AE468" s="3"/>
      <c r="AF468" s="3"/>
      <c r="AG468" s="3"/>
    </row>
    <row r="469" spans="30:33" ht="13">
      <c r="AD469" s="3"/>
      <c r="AE469" s="3"/>
      <c r="AF469" s="3"/>
      <c r="AG469" s="3"/>
    </row>
    <row r="470" spans="30:33" ht="13">
      <c r="AD470" s="3"/>
      <c r="AE470" s="3"/>
      <c r="AF470" s="3"/>
      <c r="AG470" s="3"/>
    </row>
    <row r="471" spans="30:33" ht="13">
      <c r="AD471" s="3"/>
      <c r="AE471" s="3"/>
      <c r="AF471" s="3"/>
      <c r="AG471" s="3"/>
    </row>
    <row r="472" spans="30:33" ht="13">
      <c r="AD472" s="3"/>
      <c r="AE472" s="3"/>
      <c r="AF472" s="3"/>
      <c r="AG472" s="3"/>
    </row>
    <row r="473" spans="30:33" ht="13">
      <c r="AD473" s="3"/>
      <c r="AE473" s="3"/>
      <c r="AF473" s="3"/>
      <c r="AG473" s="3"/>
    </row>
    <row r="474" spans="30:33" ht="13">
      <c r="AD474" s="3"/>
      <c r="AE474" s="3"/>
      <c r="AF474" s="3"/>
      <c r="AG474" s="3"/>
    </row>
    <row r="475" spans="30:33" ht="13">
      <c r="AD475" s="3"/>
      <c r="AE475" s="3"/>
      <c r="AF475" s="3"/>
      <c r="AG475" s="3"/>
    </row>
    <row r="476" spans="30:33" ht="13">
      <c r="AD476" s="3"/>
      <c r="AE476" s="3"/>
      <c r="AF476" s="3"/>
      <c r="AG476" s="3"/>
    </row>
    <row r="477" spans="30:33" ht="13">
      <c r="AD477" s="3"/>
      <c r="AE477" s="3"/>
      <c r="AF477" s="3"/>
      <c r="AG477" s="3"/>
    </row>
    <row r="478" spans="30:33" ht="13">
      <c r="AD478" s="3"/>
      <c r="AE478" s="3"/>
      <c r="AF478" s="3"/>
      <c r="AG478" s="3"/>
    </row>
    <row r="479" spans="30:33" ht="13">
      <c r="AD479" s="3"/>
      <c r="AE479" s="3"/>
      <c r="AF479" s="3"/>
      <c r="AG479" s="3"/>
    </row>
    <row r="480" spans="30:33" ht="13">
      <c r="AD480" s="3"/>
      <c r="AE480" s="3"/>
      <c r="AF480" s="3"/>
      <c r="AG480" s="3"/>
    </row>
    <row r="481" spans="30:33" ht="13">
      <c r="AD481" s="3"/>
      <c r="AE481" s="3"/>
      <c r="AF481" s="3"/>
      <c r="AG481" s="3"/>
    </row>
    <row r="482" spans="30:33" ht="13">
      <c r="AD482" s="3"/>
      <c r="AE482" s="3"/>
      <c r="AF482" s="3"/>
      <c r="AG482" s="3"/>
    </row>
    <row r="483" spans="30:33" ht="13">
      <c r="AD483" s="3"/>
      <c r="AE483" s="3"/>
      <c r="AF483" s="3"/>
      <c r="AG483" s="3"/>
    </row>
    <row r="484" spans="30:33" ht="13">
      <c r="AD484" s="3"/>
      <c r="AE484" s="3"/>
      <c r="AF484" s="3"/>
      <c r="AG484" s="3"/>
    </row>
    <row r="485" spans="30:33" ht="13">
      <c r="AD485" s="3"/>
      <c r="AE485" s="3"/>
      <c r="AF485" s="3"/>
      <c r="AG485" s="3"/>
    </row>
    <row r="486" spans="30:33" ht="13">
      <c r="AD486" s="3"/>
      <c r="AE486" s="3"/>
      <c r="AF486" s="3"/>
      <c r="AG486" s="3"/>
    </row>
    <row r="487" spans="30:33" ht="13">
      <c r="AD487" s="3"/>
      <c r="AE487" s="3"/>
      <c r="AF487" s="3"/>
      <c r="AG487" s="3"/>
    </row>
    <row r="488" spans="30:33" ht="13">
      <c r="AD488" s="3"/>
      <c r="AE488" s="3"/>
      <c r="AF488" s="3"/>
      <c r="AG488" s="3"/>
    </row>
    <row r="489" spans="30:33" ht="13">
      <c r="AD489" s="3"/>
      <c r="AE489" s="3"/>
      <c r="AF489" s="3"/>
      <c r="AG489" s="3"/>
    </row>
    <row r="490" spans="30:33" ht="13">
      <c r="AD490" s="3"/>
      <c r="AE490" s="3"/>
      <c r="AF490" s="3"/>
      <c r="AG490" s="3"/>
    </row>
    <row r="491" spans="30:33" ht="13">
      <c r="AD491" s="3"/>
      <c r="AE491" s="3"/>
      <c r="AF491" s="3"/>
      <c r="AG491" s="3"/>
    </row>
    <row r="492" spans="30:33" ht="13">
      <c r="AD492" s="3"/>
      <c r="AE492" s="3"/>
      <c r="AF492" s="3"/>
      <c r="AG492" s="3"/>
    </row>
    <row r="493" spans="30:33" ht="13">
      <c r="AD493" s="3"/>
      <c r="AE493" s="3"/>
      <c r="AF493" s="3"/>
      <c r="AG493" s="3"/>
    </row>
    <row r="494" spans="30:33" ht="13">
      <c r="AD494" s="3"/>
      <c r="AE494" s="3"/>
      <c r="AF494" s="3"/>
      <c r="AG494" s="3"/>
    </row>
    <row r="495" spans="30:33" ht="13">
      <c r="AD495" s="3"/>
      <c r="AE495" s="3"/>
      <c r="AF495" s="3"/>
      <c r="AG495" s="3"/>
    </row>
    <row r="496" spans="30:33" ht="13">
      <c r="AD496" s="3"/>
      <c r="AE496" s="3"/>
      <c r="AF496" s="3"/>
      <c r="AG496" s="3"/>
    </row>
    <row r="497" spans="30:33" ht="13">
      <c r="AD497" s="3"/>
      <c r="AE497" s="3"/>
      <c r="AF497" s="3"/>
      <c r="AG497" s="3"/>
    </row>
    <row r="498" spans="30:33" ht="13">
      <c r="AD498" s="3"/>
      <c r="AE498" s="3"/>
      <c r="AF498" s="3"/>
      <c r="AG498" s="3"/>
    </row>
    <row r="499" spans="30:33" ht="13">
      <c r="AD499" s="3"/>
      <c r="AE499" s="3"/>
      <c r="AF499" s="3"/>
      <c r="AG499" s="3"/>
    </row>
    <row r="500" spans="30:33" ht="13">
      <c r="AD500" s="3"/>
      <c r="AE500" s="3"/>
      <c r="AF500" s="3"/>
      <c r="AG500" s="3"/>
    </row>
    <row r="501" spans="30:33" ht="13">
      <c r="AD501" s="3"/>
      <c r="AE501" s="3"/>
      <c r="AF501" s="3"/>
      <c r="AG501" s="3"/>
    </row>
    <row r="502" spans="30:33" ht="13">
      <c r="AD502" s="3"/>
      <c r="AE502" s="3"/>
      <c r="AF502" s="3"/>
      <c r="AG502" s="3"/>
    </row>
    <row r="503" spans="30:33" ht="13">
      <c r="AD503" s="3"/>
      <c r="AE503" s="3"/>
      <c r="AF503" s="3"/>
      <c r="AG503" s="3"/>
    </row>
    <row r="504" spans="30:33" ht="13">
      <c r="AD504" s="3"/>
      <c r="AE504" s="3"/>
      <c r="AF504" s="3"/>
      <c r="AG504" s="3"/>
    </row>
    <row r="505" spans="30:33" ht="13">
      <c r="AD505" s="3"/>
      <c r="AE505" s="3"/>
      <c r="AF505" s="3"/>
      <c r="AG505" s="3"/>
    </row>
    <row r="506" spans="30:33" ht="13">
      <c r="AD506" s="3"/>
      <c r="AE506" s="3"/>
      <c r="AF506" s="3"/>
      <c r="AG506" s="3"/>
    </row>
    <row r="507" spans="30:33" ht="13">
      <c r="AD507" s="3"/>
      <c r="AE507" s="3"/>
      <c r="AF507" s="3"/>
      <c r="AG507" s="3"/>
    </row>
    <row r="508" spans="30:33" ht="13">
      <c r="AD508" s="3"/>
      <c r="AE508" s="3"/>
      <c r="AF508" s="3"/>
      <c r="AG508" s="3"/>
    </row>
    <row r="509" spans="30:33" ht="13">
      <c r="AD509" s="3"/>
      <c r="AE509" s="3"/>
      <c r="AF509" s="3"/>
      <c r="AG509" s="3"/>
    </row>
    <row r="510" spans="30:33" ht="13">
      <c r="AD510" s="3"/>
      <c r="AE510" s="3"/>
      <c r="AF510" s="3"/>
      <c r="AG510" s="3"/>
    </row>
    <row r="511" spans="30:33" ht="13">
      <c r="AD511" s="3"/>
      <c r="AE511" s="3"/>
      <c r="AF511" s="3"/>
      <c r="AG511" s="3"/>
    </row>
    <row r="512" spans="30:33" ht="13">
      <c r="AD512" s="3"/>
      <c r="AE512" s="3"/>
      <c r="AF512" s="3"/>
      <c r="AG512" s="3"/>
    </row>
    <row r="513" spans="30:33" ht="13">
      <c r="AD513" s="3"/>
      <c r="AE513" s="3"/>
      <c r="AF513" s="3"/>
      <c r="AG513" s="3"/>
    </row>
    <row r="514" spans="30:33" ht="13">
      <c r="AD514" s="3"/>
      <c r="AE514" s="3"/>
      <c r="AF514" s="3"/>
      <c r="AG514" s="3"/>
    </row>
    <row r="515" spans="30:33" ht="13">
      <c r="AD515" s="3"/>
      <c r="AE515" s="3"/>
      <c r="AF515" s="3"/>
      <c r="AG515" s="3"/>
    </row>
    <row r="516" spans="30:33" ht="13">
      <c r="AD516" s="3"/>
      <c r="AE516" s="3"/>
      <c r="AF516" s="3"/>
      <c r="AG516" s="3"/>
    </row>
    <row r="517" spans="30:33" ht="13">
      <c r="AD517" s="3"/>
      <c r="AE517" s="3"/>
      <c r="AF517" s="3"/>
      <c r="AG517" s="3"/>
    </row>
    <row r="518" spans="30:33" ht="13">
      <c r="AD518" s="3"/>
      <c r="AE518" s="3"/>
      <c r="AF518" s="3"/>
      <c r="AG518" s="3"/>
    </row>
    <row r="519" spans="30:33" ht="13">
      <c r="AD519" s="3"/>
      <c r="AE519" s="3"/>
      <c r="AF519" s="3"/>
      <c r="AG519" s="3"/>
    </row>
    <row r="520" spans="30:33" ht="13">
      <c r="AD520" s="3"/>
      <c r="AE520" s="3"/>
      <c r="AF520" s="3"/>
      <c r="AG520" s="3"/>
    </row>
    <row r="521" spans="30:33" ht="13">
      <c r="AD521" s="3"/>
      <c r="AE521" s="3"/>
      <c r="AF521" s="3"/>
      <c r="AG521" s="3"/>
    </row>
    <row r="522" spans="30:33" ht="13">
      <c r="AD522" s="3"/>
      <c r="AE522" s="3"/>
      <c r="AF522" s="3"/>
      <c r="AG522" s="3"/>
    </row>
    <row r="523" spans="30:33" ht="13">
      <c r="AD523" s="3"/>
      <c r="AE523" s="3"/>
      <c r="AF523" s="3"/>
      <c r="AG523" s="3"/>
    </row>
    <row r="524" spans="30:33" ht="13">
      <c r="AD524" s="3"/>
      <c r="AE524" s="3"/>
      <c r="AF524" s="3"/>
      <c r="AG524" s="3"/>
    </row>
    <row r="525" spans="30:33" ht="13">
      <c r="AD525" s="3"/>
      <c r="AE525" s="3"/>
      <c r="AF525" s="3"/>
      <c r="AG525" s="3"/>
    </row>
    <row r="526" spans="30:33" ht="13">
      <c r="AD526" s="3"/>
      <c r="AE526" s="3"/>
      <c r="AF526" s="3"/>
      <c r="AG526" s="3"/>
    </row>
    <row r="527" spans="30:33" ht="13">
      <c r="AD527" s="3"/>
      <c r="AE527" s="3"/>
      <c r="AF527" s="3"/>
      <c r="AG527" s="3"/>
    </row>
    <row r="528" spans="30:33" ht="13">
      <c r="AD528" s="3"/>
      <c r="AE528" s="3"/>
      <c r="AF528" s="3"/>
      <c r="AG528" s="3"/>
    </row>
    <row r="529" spans="30:33" ht="13">
      <c r="AD529" s="3"/>
      <c r="AE529" s="3"/>
      <c r="AF529" s="3"/>
      <c r="AG529" s="3"/>
    </row>
    <row r="530" spans="30:33" ht="13">
      <c r="AD530" s="3"/>
      <c r="AE530" s="3"/>
      <c r="AF530" s="3"/>
      <c r="AG530" s="3"/>
    </row>
    <row r="531" spans="30:33" ht="13">
      <c r="AD531" s="3"/>
      <c r="AE531" s="3"/>
      <c r="AF531" s="3"/>
      <c r="AG531" s="3"/>
    </row>
    <row r="532" spans="30:33" ht="13">
      <c r="AD532" s="3"/>
      <c r="AE532" s="3"/>
      <c r="AF532" s="3"/>
      <c r="AG532" s="3"/>
    </row>
    <row r="533" spans="30:33" ht="13">
      <c r="AD533" s="3"/>
      <c r="AE533" s="3"/>
      <c r="AF533" s="3"/>
      <c r="AG533" s="3"/>
    </row>
    <row r="534" spans="30:33" ht="13">
      <c r="AD534" s="3"/>
      <c r="AE534" s="3"/>
      <c r="AF534" s="3"/>
      <c r="AG534" s="3"/>
    </row>
    <row r="535" spans="30:33" ht="13">
      <c r="AD535" s="3"/>
      <c r="AE535" s="3"/>
      <c r="AF535" s="3"/>
      <c r="AG535" s="3"/>
    </row>
    <row r="536" spans="30:33" ht="13">
      <c r="AD536" s="3"/>
      <c r="AE536" s="3"/>
      <c r="AF536" s="3"/>
      <c r="AG536" s="3"/>
    </row>
    <row r="537" spans="30:33" ht="13">
      <c r="AD537" s="3"/>
      <c r="AE537" s="3"/>
      <c r="AF537" s="3"/>
      <c r="AG537" s="3"/>
    </row>
    <row r="538" spans="30:33" ht="13">
      <c r="AD538" s="3"/>
      <c r="AE538" s="3"/>
      <c r="AF538" s="3"/>
      <c r="AG538" s="3"/>
    </row>
    <row r="539" spans="30:33" ht="13">
      <c r="AD539" s="3"/>
      <c r="AE539" s="3"/>
      <c r="AF539" s="3"/>
      <c r="AG539" s="3"/>
    </row>
    <row r="540" spans="30:33" ht="13">
      <c r="AD540" s="3"/>
      <c r="AE540" s="3"/>
      <c r="AF540" s="3"/>
      <c r="AG540" s="3"/>
    </row>
    <row r="541" spans="30:33" ht="13">
      <c r="AD541" s="3"/>
      <c r="AE541" s="3"/>
      <c r="AF541" s="3"/>
      <c r="AG541" s="3"/>
    </row>
    <row r="542" spans="30:33" ht="13">
      <c r="AD542" s="3"/>
      <c r="AE542" s="3"/>
      <c r="AF542" s="3"/>
      <c r="AG542" s="3"/>
    </row>
    <row r="543" spans="30:33" ht="13">
      <c r="AD543" s="3"/>
      <c r="AE543" s="3"/>
      <c r="AF543" s="3"/>
      <c r="AG543" s="3"/>
    </row>
    <row r="544" spans="30:33" ht="13">
      <c r="AD544" s="3"/>
      <c r="AE544" s="3"/>
      <c r="AF544" s="3"/>
      <c r="AG544" s="3"/>
    </row>
    <row r="545" spans="30:33" ht="13">
      <c r="AD545" s="3"/>
      <c r="AE545" s="3"/>
      <c r="AF545" s="3"/>
      <c r="AG545" s="3"/>
    </row>
    <row r="546" spans="30:33" ht="13">
      <c r="AD546" s="3"/>
      <c r="AE546" s="3"/>
      <c r="AF546" s="3"/>
      <c r="AG546" s="3"/>
    </row>
    <row r="547" spans="30:33" ht="13">
      <c r="AD547" s="3"/>
      <c r="AE547" s="3"/>
      <c r="AF547" s="3"/>
      <c r="AG547" s="3"/>
    </row>
    <row r="548" spans="30:33" ht="13">
      <c r="AD548" s="3"/>
      <c r="AE548" s="3"/>
      <c r="AF548" s="3"/>
      <c r="AG548" s="3"/>
    </row>
    <row r="549" spans="30:33" ht="13">
      <c r="AD549" s="3"/>
      <c r="AE549" s="3"/>
      <c r="AF549" s="3"/>
      <c r="AG549" s="3"/>
    </row>
    <row r="550" spans="30:33" ht="13">
      <c r="AD550" s="3"/>
      <c r="AE550" s="3"/>
      <c r="AF550" s="3"/>
      <c r="AG550" s="3"/>
    </row>
    <row r="551" spans="30:33" ht="13">
      <c r="AD551" s="3"/>
      <c r="AE551" s="3"/>
      <c r="AF551" s="3"/>
      <c r="AG551" s="3"/>
    </row>
    <row r="552" spans="30:33" ht="13">
      <c r="AD552" s="3"/>
      <c r="AE552" s="3"/>
      <c r="AF552" s="3"/>
      <c r="AG552" s="3"/>
    </row>
    <row r="553" spans="30:33" ht="13">
      <c r="AD553" s="3"/>
      <c r="AE553" s="3"/>
      <c r="AF553" s="3"/>
      <c r="AG553" s="3"/>
    </row>
    <row r="554" spans="30:33" ht="13">
      <c r="AD554" s="3"/>
      <c r="AE554" s="3"/>
      <c r="AF554" s="3"/>
      <c r="AG554" s="3"/>
    </row>
    <row r="555" spans="30:33" ht="13">
      <c r="AD555" s="3"/>
      <c r="AE555" s="3"/>
      <c r="AF555" s="3"/>
      <c r="AG555" s="3"/>
    </row>
    <row r="556" spans="30:33" ht="13">
      <c r="AD556" s="3"/>
      <c r="AE556" s="3"/>
      <c r="AF556" s="3"/>
      <c r="AG556" s="3"/>
    </row>
    <row r="557" spans="30:33" ht="13">
      <c r="AD557" s="3"/>
      <c r="AE557" s="3"/>
      <c r="AF557" s="3"/>
      <c r="AG557" s="3"/>
    </row>
    <row r="558" spans="30:33" ht="13">
      <c r="AD558" s="3"/>
      <c r="AE558" s="3"/>
      <c r="AF558" s="3"/>
      <c r="AG558" s="3"/>
    </row>
    <row r="559" spans="30:33" ht="13">
      <c r="AD559" s="3"/>
      <c r="AE559" s="3"/>
      <c r="AF559" s="3"/>
      <c r="AG559" s="3"/>
    </row>
    <row r="560" spans="30:33" ht="13">
      <c r="AD560" s="3"/>
      <c r="AE560" s="3"/>
      <c r="AF560" s="3"/>
      <c r="AG560" s="3"/>
    </row>
    <row r="561" spans="30:33" ht="13">
      <c r="AD561" s="3"/>
      <c r="AE561" s="3"/>
      <c r="AF561" s="3"/>
      <c r="AG561" s="3"/>
    </row>
    <row r="562" spans="30:33" ht="13">
      <c r="AD562" s="3"/>
      <c r="AE562" s="3"/>
      <c r="AF562" s="3"/>
      <c r="AG562" s="3"/>
    </row>
    <row r="563" spans="30:33" ht="13">
      <c r="AD563" s="3"/>
      <c r="AE563" s="3"/>
      <c r="AF563" s="3"/>
      <c r="AG563" s="3"/>
    </row>
    <row r="564" spans="30:33" ht="13">
      <c r="AD564" s="3"/>
      <c r="AE564" s="3"/>
      <c r="AF564" s="3"/>
      <c r="AG564" s="3"/>
    </row>
    <row r="565" spans="30:33" ht="13">
      <c r="AD565" s="3"/>
      <c r="AE565" s="3"/>
      <c r="AF565" s="3"/>
      <c r="AG565" s="3"/>
    </row>
    <row r="566" spans="30:33" ht="13">
      <c r="AD566" s="3"/>
      <c r="AE566" s="3"/>
      <c r="AF566" s="3"/>
      <c r="AG566" s="3"/>
    </row>
    <row r="567" spans="30:33" ht="13">
      <c r="AD567" s="3"/>
      <c r="AE567" s="3"/>
      <c r="AF567" s="3"/>
      <c r="AG567" s="3"/>
    </row>
    <row r="568" spans="30:33" ht="13">
      <c r="AD568" s="3"/>
      <c r="AE568" s="3"/>
      <c r="AF568" s="3"/>
      <c r="AG568" s="3"/>
    </row>
    <row r="569" spans="30:33" ht="13">
      <c r="AD569" s="3"/>
      <c r="AE569" s="3"/>
      <c r="AF569" s="3"/>
      <c r="AG569" s="3"/>
    </row>
    <row r="570" spans="30:33" ht="13">
      <c r="AD570" s="3"/>
      <c r="AE570" s="3"/>
      <c r="AF570" s="3"/>
      <c r="AG570" s="3"/>
    </row>
    <row r="571" spans="30:33" ht="13">
      <c r="AD571" s="3"/>
      <c r="AE571" s="3"/>
      <c r="AF571" s="3"/>
      <c r="AG571" s="3"/>
    </row>
    <row r="572" spans="30:33" ht="13">
      <c r="AD572" s="3"/>
      <c r="AE572" s="3"/>
      <c r="AF572" s="3"/>
      <c r="AG572" s="3"/>
    </row>
    <row r="573" spans="30:33" ht="13">
      <c r="AD573" s="3"/>
      <c r="AE573" s="3"/>
      <c r="AF573" s="3"/>
      <c r="AG573" s="3"/>
    </row>
    <row r="574" spans="30:33" ht="13">
      <c r="AD574" s="3"/>
      <c r="AE574" s="3"/>
      <c r="AF574" s="3"/>
      <c r="AG574" s="3"/>
    </row>
    <row r="575" spans="30:33" ht="13">
      <c r="AD575" s="3"/>
      <c r="AE575" s="3"/>
      <c r="AF575" s="3"/>
      <c r="AG575" s="3"/>
    </row>
    <row r="576" spans="30:33" ht="13">
      <c r="AD576" s="3"/>
      <c r="AE576" s="3"/>
      <c r="AF576" s="3"/>
      <c r="AG576" s="3"/>
    </row>
    <row r="577" spans="30:33" ht="13">
      <c r="AD577" s="3"/>
      <c r="AE577" s="3"/>
      <c r="AF577" s="3"/>
      <c r="AG577" s="3"/>
    </row>
    <row r="578" spans="30:33" ht="13">
      <c r="AD578" s="3"/>
      <c r="AE578" s="3"/>
      <c r="AF578" s="3"/>
      <c r="AG578" s="3"/>
    </row>
    <row r="579" spans="30:33" ht="13">
      <c r="AD579" s="3"/>
      <c r="AE579" s="3"/>
      <c r="AF579" s="3"/>
      <c r="AG579" s="3"/>
    </row>
    <row r="580" spans="30:33" ht="13">
      <c r="AD580" s="3"/>
      <c r="AE580" s="3"/>
      <c r="AF580" s="3"/>
      <c r="AG580" s="3"/>
    </row>
    <row r="581" spans="30:33" ht="13">
      <c r="AD581" s="3"/>
      <c r="AE581" s="3"/>
      <c r="AF581" s="3"/>
      <c r="AG581" s="3"/>
    </row>
    <row r="582" spans="30:33" ht="13">
      <c r="AD582" s="3"/>
      <c r="AE582" s="3"/>
      <c r="AF582" s="3"/>
      <c r="AG582" s="3"/>
    </row>
    <row r="583" spans="30:33" ht="13">
      <c r="AD583" s="3"/>
      <c r="AE583" s="3"/>
      <c r="AF583" s="3"/>
      <c r="AG583" s="3"/>
    </row>
    <row r="584" spans="30:33" ht="13">
      <c r="AD584" s="3"/>
      <c r="AE584" s="3"/>
      <c r="AF584" s="3"/>
      <c r="AG584" s="3"/>
    </row>
    <row r="585" spans="30:33" ht="13">
      <c r="AD585" s="3"/>
      <c r="AE585" s="3"/>
      <c r="AF585" s="3"/>
      <c r="AG585" s="3"/>
    </row>
    <row r="586" spans="30:33" ht="13">
      <c r="AD586" s="3"/>
      <c r="AE586" s="3"/>
      <c r="AF586" s="3"/>
      <c r="AG586" s="3"/>
    </row>
    <row r="587" spans="30:33" ht="13">
      <c r="AD587" s="3"/>
      <c r="AE587" s="3"/>
      <c r="AF587" s="3"/>
      <c r="AG587" s="3"/>
    </row>
    <row r="588" spans="30:33" ht="13">
      <c r="AD588" s="3"/>
      <c r="AE588" s="3"/>
      <c r="AF588" s="3"/>
      <c r="AG588" s="3"/>
    </row>
    <row r="589" spans="30:33" ht="13">
      <c r="AD589" s="3"/>
      <c r="AE589" s="3"/>
      <c r="AF589" s="3"/>
      <c r="AG589" s="3"/>
    </row>
    <row r="590" spans="30:33" ht="13">
      <c r="AD590" s="3"/>
      <c r="AE590" s="3"/>
      <c r="AF590" s="3"/>
      <c r="AG590" s="3"/>
    </row>
    <row r="591" spans="30:33" ht="13">
      <c r="AD591" s="3"/>
      <c r="AE591" s="3"/>
      <c r="AF591" s="3"/>
      <c r="AG591" s="3"/>
    </row>
    <row r="592" spans="30:33" ht="13">
      <c r="AD592" s="3"/>
      <c r="AE592" s="3"/>
      <c r="AF592" s="3"/>
      <c r="AG592" s="3"/>
    </row>
    <row r="593" spans="30:33" ht="13">
      <c r="AD593" s="3"/>
      <c r="AE593" s="3"/>
      <c r="AF593" s="3"/>
      <c r="AG593" s="3"/>
    </row>
    <row r="594" spans="30:33" ht="13">
      <c r="AD594" s="3"/>
      <c r="AE594" s="3"/>
      <c r="AF594" s="3"/>
      <c r="AG594" s="3"/>
    </row>
    <row r="595" spans="30:33" ht="13">
      <c r="AD595" s="3"/>
      <c r="AE595" s="3"/>
      <c r="AF595" s="3"/>
      <c r="AG595" s="3"/>
    </row>
    <row r="596" spans="30:33" ht="13">
      <c r="AD596" s="3"/>
      <c r="AE596" s="3"/>
      <c r="AF596" s="3"/>
      <c r="AG596" s="3"/>
    </row>
    <row r="597" spans="30:33" ht="13">
      <c r="AD597" s="3"/>
      <c r="AE597" s="3"/>
      <c r="AF597" s="3"/>
      <c r="AG597" s="3"/>
    </row>
    <row r="598" spans="30:33" ht="13">
      <c r="AD598" s="3"/>
      <c r="AE598" s="3"/>
      <c r="AF598" s="3"/>
      <c r="AG598" s="3"/>
    </row>
    <row r="599" spans="30:33" ht="13">
      <c r="AD599" s="3"/>
      <c r="AE599" s="3"/>
      <c r="AF599" s="3"/>
      <c r="AG599" s="3"/>
    </row>
    <row r="600" spans="30:33" ht="13">
      <c r="AD600" s="3"/>
      <c r="AE600" s="3"/>
      <c r="AF600" s="3"/>
      <c r="AG600" s="3"/>
    </row>
    <row r="601" spans="30:33" ht="13">
      <c r="AD601" s="3"/>
      <c r="AE601" s="3"/>
      <c r="AF601" s="3"/>
      <c r="AG601" s="3"/>
    </row>
    <row r="602" spans="30:33" ht="13">
      <c r="AD602" s="3"/>
      <c r="AE602" s="3"/>
      <c r="AF602" s="3"/>
      <c r="AG602" s="3"/>
    </row>
    <row r="603" spans="30:33" ht="13">
      <c r="AD603" s="3"/>
      <c r="AE603" s="3"/>
      <c r="AF603" s="3"/>
      <c r="AG603" s="3"/>
    </row>
    <row r="604" spans="30:33" ht="13">
      <c r="AD604" s="3"/>
      <c r="AE604" s="3"/>
      <c r="AF604" s="3"/>
      <c r="AG604" s="3"/>
    </row>
    <row r="605" spans="30:33" ht="13">
      <c r="AD605" s="3"/>
      <c r="AE605" s="3"/>
      <c r="AF605" s="3"/>
      <c r="AG605" s="3"/>
    </row>
    <row r="606" spans="30:33" ht="13">
      <c r="AD606" s="3"/>
      <c r="AE606" s="3"/>
      <c r="AF606" s="3"/>
      <c r="AG606" s="3"/>
    </row>
    <row r="607" spans="30:33" ht="13">
      <c r="AD607" s="3"/>
      <c r="AE607" s="3"/>
      <c r="AF607" s="3"/>
      <c r="AG607" s="3"/>
    </row>
    <row r="608" spans="30:33" ht="13">
      <c r="AD608" s="3"/>
      <c r="AE608" s="3"/>
      <c r="AF608" s="3"/>
      <c r="AG608" s="3"/>
    </row>
    <row r="609" spans="30:33" ht="13">
      <c r="AD609" s="3"/>
      <c r="AE609" s="3"/>
      <c r="AF609" s="3"/>
      <c r="AG609" s="3"/>
    </row>
    <row r="610" spans="30:33" ht="13">
      <c r="AD610" s="3"/>
      <c r="AE610" s="3"/>
      <c r="AF610" s="3"/>
      <c r="AG610" s="3"/>
    </row>
    <row r="611" spans="30:33" ht="13">
      <c r="AD611" s="3"/>
      <c r="AE611" s="3"/>
      <c r="AF611" s="3"/>
      <c r="AG611" s="3"/>
    </row>
    <row r="612" spans="30:33" ht="13">
      <c r="AD612" s="3"/>
      <c r="AE612" s="3"/>
      <c r="AF612" s="3"/>
      <c r="AG612" s="3"/>
    </row>
    <row r="613" spans="30:33" ht="13">
      <c r="AD613" s="3"/>
      <c r="AE613" s="3"/>
      <c r="AF613" s="3"/>
      <c r="AG613" s="3"/>
    </row>
    <row r="614" spans="30:33" ht="13">
      <c r="AD614" s="3"/>
      <c r="AE614" s="3"/>
      <c r="AF614" s="3"/>
      <c r="AG614" s="3"/>
    </row>
    <row r="615" spans="30:33" ht="13">
      <c r="AD615" s="3"/>
      <c r="AE615" s="3"/>
      <c r="AF615" s="3"/>
      <c r="AG615" s="3"/>
    </row>
    <row r="616" spans="30:33" ht="13">
      <c r="AD616" s="3"/>
      <c r="AE616" s="3"/>
      <c r="AF616" s="3"/>
      <c r="AG616" s="3"/>
    </row>
    <row r="617" spans="30:33" ht="13">
      <c r="AD617" s="3"/>
      <c r="AE617" s="3"/>
      <c r="AF617" s="3"/>
      <c r="AG617" s="3"/>
    </row>
    <row r="618" spans="30:33" ht="13">
      <c r="AD618" s="3"/>
      <c r="AE618" s="3"/>
      <c r="AF618" s="3"/>
      <c r="AG618" s="3"/>
    </row>
    <row r="619" spans="30:33" ht="13">
      <c r="AD619" s="3"/>
      <c r="AE619" s="3"/>
      <c r="AF619" s="3"/>
      <c r="AG619" s="3"/>
    </row>
    <row r="620" spans="30:33" ht="13">
      <c r="AD620" s="3"/>
      <c r="AE620" s="3"/>
      <c r="AF620" s="3"/>
      <c r="AG620" s="3"/>
    </row>
    <row r="621" spans="30:33" ht="13">
      <c r="AD621" s="3"/>
      <c r="AE621" s="3"/>
      <c r="AF621" s="3"/>
      <c r="AG621" s="3"/>
    </row>
    <row r="622" spans="30:33" ht="13">
      <c r="AD622" s="3"/>
      <c r="AE622" s="3"/>
      <c r="AF622" s="3"/>
      <c r="AG622" s="3"/>
    </row>
    <row r="623" spans="30:33" ht="13">
      <c r="AD623" s="3"/>
      <c r="AE623" s="3"/>
      <c r="AF623" s="3"/>
      <c r="AG623" s="3"/>
    </row>
    <row r="624" spans="30:33" ht="13">
      <c r="AD624" s="3"/>
      <c r="AE624" s="3"/>
      <c r="AF624" s="3"/>
      <c r="AG624" s="3"/>
    </row>
    <row r="625" spans="30:33" ht="13">
      <c r="AD625" s="3"/>
      <c r="AE625" s="3"/>
      <c r="AF625" s="3"/>
      <c r="AG625" s="3"/>
    </row>
    <row r="626" spans="30:33" ht="13">
      <c r="AD626" s="3"/>
      <c r="AE626" s="3"/>
      <c r="AF626" s="3"/>
      <c r="AG626" s="3"/>
    </row>
    <row r="627" spans="30:33" ht="13">
      <c r="AD627" s="3"/>
      <c r="AE627" s="3"/>
      <c r="AF627" s="3"/>
      <c r="AG627" s="3"/>
    </row>
    <row r="628" spans="30:33" ht="13">
      <c r="AD628" s="3"/>
      <c r="AE628" s="3"/>
      <c r="AF628" s="3"/>
      <c r="AG628" s="3"/>
    </row>
    <row r="629" spans="30:33" ht="13">
      <c r="AD629" s="3"/>
      <c r="AE629" s="3"/>
      <c r="AF629" s="3"/>
      <c r="AG629" s="3"/>
    </row>
    <row r="630" spans="30:33" ht="13">
      <c r="AD630" s="3"/>
      <c r="AE630" s="3"/>
      <c r="AF630" s="3"/>
      <c r="AG630" s="3"/>
    </row>
    <row r="631" spans="30:33" ht="13">
      <c r="AD631" s="3"/>
      <c r="AE631" s="3"/>
      <c r="AF631" s="3"/>
      <c r="AG631" s="3"/>
    </row>
    <row r="632" spans="30:33" ht="13">
      <c r="AD632" s="3"/>
      <c r="AE632" s="3"/>
      <c r="AF632" s="3"/>
      <c r="AG632" s="3"/>
    </row>
    <row r="633" spans="30:33" ht="13">
      <c r="AD633" s="3"/>
      <c r="AE633" s="3"/>
      <c r="AF633" s="3"/>
      <c r="AG633" s="3"/>
    </row>
    <row r="634" spans="30:33" ht="13">
      <c r="AD634" s="3"/>
      <c r="AE634" s="3"/>
      <c r="AF634" s="3"/>
      <c r="AG634" s="3"/>
    </row>
    <row r="635" spans="30:33" ht="13">
      <c r="AD635" s="3"/>
      <c r="AE635" s="3"/>
      <c r="AF635" s="3"/>
      <c r="AG635" s="3"/>
    </row>
    <row r="636" spans="30:33" ht="13">
      <c r="AD636" s="3"/>
      <c r="AE636" s="3"/>
      <c r="AF636" s="3"/>
      <c r="AG636" s="3"/>
    </row>
    <row r="637" spans="30:33" ht="13">
      <c r="AD637" s="3"/>
      <c r="AE637" s="3"/>
      <c r="AF637" s="3"/>
      <c r="AG637" s="3"/>
    </row>
    <row r="638" spans="30:33" ht="13">
      <c r="AD638" s="3"/>
      <c r="AE638" s="3"/>
      <c r="AF638" s="3"/>
      <c r="AG638" s="3"/>
    </row>
    <row r="639" spans="30:33" ht="13">
      <c r="AD639" s="3"/>
      <c r="AE639" s="3"/>
      <c r="AF639" s="3"/>
      <c r="AG639" s="3"/>
    </row>
    <row r="640" spans="30:33" ht="13">
      <c r="AD640" s="3"/>
      <c r="AE640" s="3"/>
      <c r="AF640" s="3"/>
      <c r="AG640" s="3"/>
    </row>
    <row r="641" spans="30:33" ht="13">
      <c r="AD641" s="3"/>
      <c r="AE641" s="3"/>
      <c r="AF641" s="3"/>
      <c r="AG641" s="3"/>
    </row>
    <row r="642" spans="30:33" ht="13">
      <c r="AD642" s="3"/>
      <c r="AE642" s="3"/>
      <c r="AF642" s="3"/>
      <c r="AG642" s="3"/>
    </row>
    <row r="643" spans="30:33" ht="13">
      <c r="AD643" s="3"/>
      <c r="AE643" s="3"/>
      <c r="AF643" s="3"/>
      <c r="AG643" s="3"/>
    </row>
    <row r="644" spans="30:33" ht="13">
      <c r="AD644" s="3"/>
      <c r="AE644" s="3"/>
      <c r="AF644" s="3"/>
      <c r="AG644" s="3"/>
    </row>
    <row r="645" spans="30:33" ht="13">
      <c r="AD645" s="3"/>
      <c r="AE645" s="3"/>
      <c r="AF645" s="3"/>
      <c r="AG645" s="3"/>
    </row>
    <row r="646" spans="30:33" ht="13">
      <c r="AD646" s="3"/>
      <c r="AE646" s="3"/>
      <c r="AF646" s="3"/>
      <c r="AG646" s="3"/>
    </row>
    <row r="647" spans="30:33" ht="13">
      <c r="AD647" s="3"/>
      <c r="AE647" s="3"/>
      <c r="AF647" s="3"/>
      <c r="AG647" s="3"/>
    </row>
    <row r="648" spans="30:33" ht="13">
      <c r="AD648" s="3"/>
      <c r="AE648" s="3"/>
      <c r="AF648" s="3"/>
      <c r="AG648" s="3"/>
    </row>
    <row r="649" spans="30:33" ht="13">
      <c r="AD649" s="3"/>
      <c r="AE649" s="3"/>
      <c r="AF649" s="3"/>
      <c r="AG649" s="3"/>
    </row>
    <row r="650" spans="30:33" ht="13">
      <c r="AD650" s="3"/>
      <c r="AE650" s="3"/>
      <c r="AF650" s="3"/>
      <c r="AG650" s="3"/>
    </row>
    <row r="651" spans="30:33" ht="13">
      <c r="AD651" s="3"/>
      <c r="AE651" s="3"/>
      <c r="AF651" s="3"/>
      <c r="AG651" s="3"/>
    </row>
    <row r="652" spans="30:33" ht="13">
      <c r="AD652" s="3"/>
      <c r="AE652" s="3"/>
      <c r="AF652" s="3"/>
      <c r="AG652" s="3"/>
    </row>
    <row r="653" spans="30:33" ht="13">
      <c r="AD653" s="3"/>
      <c r="AE653" s="3"/>
      <c r="AF653" s="3"/>
      <c r="AG653" s="3"/>
    </row>
    <row r="654" spans="30:33" ht="13">
      <c r="AD654" s="3"/>
      <c r="AE654" s="3"/>
      <c r="AF654" s="3"/>
      <c r="AG654" s="3"/>
    </row>
    <row r="655" spans="30:33" ht="13">
      <c r="AD655" s="3"/>
      <c r="AE655" s="3"/>
      <c r="AF655" s="3"/>
      <c r="AG655" s="3"/>
    </row>
    <row r="656" spans="30:33" ht="13">
      <c r="AD656" s="3"/>
      <c r="AE656" s="3"/>
      <c r="AF656" s="3"/>
      <c r="AG656" s="3"/>
    </row>
    <row r="657" spans="30:33" ht="13">
      <c r="AD657" s="3"/>
      <c r="AE657" s="3"/>
      <c r="AF657" s="3"/>
      <c r="AG657" s="3"/>
    </row>
    <row r="658" spans="30:33" ht="13">
      <c r="AD658" s="3"/>
      <c r="AE658" s="3"/>
      <c r="AF658" s="3"/>
      <c r="AG658" s="3"/>
    </row>
    <row r="659" spans="30:33" ht="13">
      <c r="AD659" s="3"/>
      <c r="AE659" s="3"/>
      <c r="AF659" s="3"/>
      <c r="AG659" s="3"/>
    </row>
    <row r="660" spans="30:33" ht="13">
      <c r="AD660" s="3"/>
      <c r="AE660" s="3"/>
      <c r="AF660" s="3"/>
      <c r="AG660" s="3"/>
    </row>
    <row r="661" spans="30:33" ht="13">
      <c r="AD661" s="3"/>
      <c r="AE661" s="3"/>
      <c r="AF661" s="3"/>
      <c r="AG661" s="3"/>
    </row>
    <row r="662" spans="30:33" ht="13">
      <c r="AD662" s="3"/>
      <c r="AE662" s="3"/>
      <c r="AF662" s="3"/>
      <c r="AG662" s="3"/>
    </row>
    <row r="663" spans="30:33" ht="13">
      <c r="AD663" s="3"/>
      <c r="AE663" s="3"/>
      <c r="AF663" s="3"/>
      <c r="AG663" s="3"/>
    </row>
    <row r="664" spans="30:33" ht="13">
      <c r="AD664" s="3"/>
      <c r="AE664" s="3"/>
      <c r="AF664" s="3"/>
      <c r="AG664" s="3"/>
    </row>
    <row r="665" spans="30:33" ht="13">
      <c r="AD665" s="3"/>
      <c r="AE665" s="3"/>
      <c r="AF665" s="3"/>
      <c r="AG665" s="3"/>
    </row>
    <row r="666" spans="30:33" ht="13">
      <c r="AD666" s="3"/>
      <c r="AE666" s="3"/>
      <c r="AF666" s="3"/>
      <c r="AG666" s="3"/>
    </row>
    <row r="667" spans="30:33" ht="13">
      <c r="AD667" s="3"/>
      <c r="AE667" s="3"/>
      <c r="AF667" s="3"/>
      <c r="AG667" s="3"/>
    </row>
    <row r="668" spans="30:33" ht="13">
      <c r="AD668" s="3"/>
      <c r="AE668" s="3"/>
      <c r="AF668" s="3"/>
      <c r="AG668" s="3"/>
    </row>
    <row r="669" spans="30:33" ht="13">
      <c r="AD669" s="3"/>
      <c r="AE669" s="3"/>
      <c r="AF669" s="3"/>
      <c r="AG669" s="3"/>
    </row>
    <row r="670" spans="30:33" ht="13">
      <c r="AD670" s="3"/>
      <c r="AE670" s="3"/>
      <c r="AF670" s="3"/>
      <c r="AG670" s="3"/>
    </row>
    <row r="671" spans="30:33" ht="13">
      <c r="AD671" s="3"/>
      <c r="AE671" s="3"/>
      <c r="AF671" s="3"/>
      <c r="AG671" s="3"/>
    </row>
    <row r="672" spans="30:33" ht="13">
      <c r="AD672" s="3"/>
      <c r="AE672" s="3"/>
      <c r="AF672" s="3"/>
      <c r="AG672" s="3"/>
    </row>
    <row r="673" spans="30:33" ht="13">
      <c r="AD673" s="3"/>
      <c r="AE673" s="3"/>
      <c r="AF673" s="3"/>
      <c r="AG673" s="3"/>
    </row>
    <row r="674" spans="30:33" ht="13">
      <c r="AD674" s="3"/>
      <c r="AE674" s="3"/>
      <c r="AF674" s="3"/>
      <c r="AG674" s="3"/>
    </row>
    <row r="675" spans="30:33" ht="13">
      <c r="AD675" s="3"/>
      <c r="AE675" s="3"/>
      <c r="AF675" s="3"/>
      <c r="AG675" s="3"/>
    </row>
    <row r="676" spans="30:33" ht="13">
      <c r="AD676" s="3"/>
      <c r="AE676" s="3"/>
      <c r="AF676" s="3"/>
      <c r="AG676" s="3"/>
    </row>
    <row r="677" spans="30:33" ht="13">
      <c r="AD677" s="3"/>
      <c r="AE677" s="3"/>
      <c r="AF677" s="3"/>
      <c r="AG677" s="3"/>
    </row>
    <row r="678" spans="30:33" ht="13">
      <c r="AD678" s="3"/>
      <c r="AE678" s="3"/>
      <c r="AF678" s="3"/>
      <c r="AG678" s="3"/>
    </row>
    <row r="679" spans="30:33" ht="13">
      <c r="AD679" s="3"/>
      <c r="AE679" s="3"/>
      <c r="AF679" s="3"/>
      <c r="AG679" s="3"/>
    </row>
    <row r="680" spans="30:33" ht="13">
      <c r="AD680" s="3"/>
      <c r="AE680" s="3"/>
      <c r="AF680" s="3"/>
      <c r="AG680" s="3"/>
    </row>
    <row r="681" spans="30:33" ht="13">
      <c r="AD681" s="3"/>
      <c r="AE681" s="3"/>
      <c r="AF681" s="3"/>
      <c r="AG681" s="3"/>
    </row>
    <row r="682" spans="30:33" ht="13">
      <c r="AD682" s="3"/>
      <c r="AE682" s="3"/>
      <c r="AF682" s="3"/>
      <c r="AG682" s="3"/>
    </row>
    <row r="683" spans="30:33" ht="13">
      <c r="AD683" s="3"/>
      <c r="AE683" s="3"/>
      <c r="AF683" s="3"/>
      <c r="AG683" s="3"/>
    </row>
    <row r="684" spans="30:33" ht="13">
      <c r="AD684" s="3"/>
      <c r="AE684" s="3"/>
      <c r="AF684" s="3"/>
      <c r="AG684" s="3"/>
    </row>
    <row r="685" spans="30:33" ht="13">
      <c r="AD685" s="3"/>
      <c r="AE685" s="3"/>
      <c r="AF685" s="3"/>
      <c r="AG685" s="3"/>
    </row>
    <row r="686" spans="30:33" ht="13">
      <c r="AD686" s="3"/>
      <c r="AE686" s="3"/>
      <c r="AF686" s="3"/>
      <c r="AG686" s="3"/>
    </row>
    <row r="687" spans="30:33" ht="13">
      <c r="AD687" s="3"/>
      <c r="AE687" s="3"/>
      <c r="AF687" s="3"/>
      <c r="AG687" s="3"/>
    </row>
    <row r="688" spans="30:33" ht="13">
      <c r="AD688" s="3"/>
      <c r="AE688" s="3"/>
      <c r="AF688" s="3"/>
      <c r="AG688" s="3"/>
    </row>
    <row r="689" spans="30:33" ht="13">
      <c r="AD689" s="3"/>
      <c r="AE689" s="3"/>
      <c r="AF689" s="3"/>
      <c r="AG689" s="3"/>
    </row>
    <row r="690" spans="30:33" ht="13">
      <c r="AD690" s="3"/>
      <c r="AE690" s="3"/>
      <c r="AF690" s="3"/>
      <c r="AG690" s="3"/>
    </row>
    <row r="691" spans="30:33" ht="13">
      <c r="AD691" s="3"/>
      <c r="AE691" s="3"/>
      <c r="AF691" s="3"/>
      <c r="AG691" s="3"/>
    </row>
    <row r="692" spans="30:33" ht="13">
      <c r="AD692" s="3"/>
      <c r="AE692" s="3"/>
      <c r="AF692" s="3"/>
      <c r="AG692" s="3"/>
    </row>
    <row r="693" spans="30:33" ht="13">
      <c r="AD693" s="3"/>
      <c r="AE693" s="3"/>
      <c r="AF693" s="3"/>
      <c r="AG693" s="3"/>
    </row>
    <row r="694" spans="30:33" ht="13">
      <c r="AD694" s="3"/>
      <c r="AE694" s="3"/>
      <c r="AF694" s="3"/>
      <c r="AG694" s="3"/>
    </row>
    <row r="695" spans="30:33" ht="13">
      <c r="AD695" s="3"/>
      <c r="AE695" s="3"/>
      <c r="AF695" s="3"/>
      <c r="AG695" s="3"/>
    </row>
    <row r="696" spans="30:33" ht="13">
      <c r="AD696" s="3"/>
      <c r="AE696" s="3"/>
      <c r="AF696" s="3"/>
      <c r="AG696" s="3"/>
    </row>
    <row r="697" spans="30:33" ht="13">
      <c r="AD697" s="3"/>
      <c r="AE697" s="3"/>
      <c r="AF697" s="3"/>
      <c r="AG697" s="3"/>
    </row>
    <row r="698" spans="30:33" ht="13">
      <c r="AD698" s="3"/>
      <c r="AE698" s="3"/>
      <c r="AF698" s="3"/>
      <c r="AG698" s="3"/>
    </row>
    <row r="699" spans="30:33" ht="13">
      <c r="AD699" s="3"/>
      <c r="AE699" s="3"/>
      <c r="AF699" s="3"/>
      <c r="AG699" s="3"/>
    </row>
    <row r="700" spans="30:33" ht="13">
      <c r="AD700" s="3"/>
      <c r="AE700" s="3"/>
      <c r="AF700" s="3"/>
      <c r="AG700" s="3"/>
    </row>
    <row r="701" spans="30:33" ht="13">
      <c r="AD701" s="3"/>
      <c r="AE701" s="3"/>
      <c r="AF701" s="3"/>
      <c r="AG701" s="3"/>
    </row>
    <row r="702" spans="30:33" ht="13">
      <c r="AD702" s="3"/>
      <c r="AE702" s="3"/>
      <c r="AF702" s="3"/>
      <c r="AG702" s="3"/>
    </row>
    <row r="703" spans="30:33" ht="13">
      <c r="AD703" s="3"/>
      <c r="AE703" s="3"/>
      <c r="AF703" s="3"/>
      <c r="AG703" s="3"/>
    </row>
    <row r="704" spans="30:33" ht="13">
      <c r="AD704" s="3"/>
      <c r="AE704" s="3"/>
      <c r="AF704" s="3"/>
      <c r="AG704" s="3"/>
    </row>
    <row r="705" spans="30:33" ht="13">
      <c r="AD705" s="3"/>
      <c r="AE705" s="3"/>
      <c r="AF705" s="3"/>
      <c r="AG705" s="3"/>
    </row>
    <row r="706" spans="30:33" ht="13">
      <c r="AD706" s="3"/>
      <c r="AE706" s="3"/>
      <c r="AF706" s="3"/>
      <c r="AG706" s="3"/>
    </row>
    <row r="707" spans="30:33" ht="13">
      <c r="AD707" s="3"/>
      <c r="AE707" s="3"/>
      <c r="AF707" s="3"/>
      <c r="AG707" s="3"/>
    </row>
    <row r="708" spans="30:33" ht="13">
      <c r="AD708" s="3"/>
      <c r="AE708" s="3"/>
      <c r="AF708" s="3"/>
      <c r="AG708" s="3"/>
    </row>
    <row r="709" spans="30:33" ht="13">
      <c r="AD709" s="3"/>
      <c r="AE709" s="3"/>
      <c r="AF709" s="3"/>
      <c r="AG709" s="3"/>
    </row>
    <row r="710" spans="30:33" ht="13">
      <c r="AD710" s="3"/>
      <c r="AE710" s="3"/>
      <c r="AF710" s="3"/>
      <c r="AG710" s="3"/>
    </row>
    <row r="711" spans="30:33" ht="13">
      <c r="AD711" s="3"/>
      <c r="AE711" s="3"/>
      <c r="AF711" s="3"/>
      <c r="AG711" s="3"/>
    </row>
    <row r="712" spans="30:33" ht="13">
      <c r="AD712" s="3"/>
      <c r="AE712" s="3"/>
      <c r="AF712" s="3"/>
      <c r="AG712" s="3"/>
    </row>
    <row r="713" spans="30:33" ht="13">
      <c r="AD713" s="3"/>
      <c r="AE713" s="3"/>
      <c r="AF713" s="3"/>
      <c r="AG713" s="3"/>
    </row>
    <row r="714" spans="30:33" ht="13">
      <c r="AD714" s="3"/>
      <c r="AE714" s="3"/>
      <c r="AF714" s="3"/>
      <c r="AG714" s="3"/>
    </row>
    <row r="715" spans="30:33" ht="13">
      <c r="AD715" s="3"/>
      <c r="AE715" s="3"/>
      <c r="AF715" s="3"/>
      <c r="AG715" s="3"/>
    </row>
    <row r="716" spans="30:33" ht="13">
      <c r="AD716" s="3"/>
      <c r="AE716" s="3"/>
      <c r="AF716" s="3"/>
      <c r="AG716" s="3"/>
    </row>
    <row r="717" spans="30:33" ht="13">
      <c r="AD717" s="3"/>
      <c r="AE717" s="3"/>
      <c r="AF717" s="3"/>
      <c r="AG717" s="3"/>
    </row>
    <row r="718" spans="30:33" ht="13">
      <c r="AD718" s="3"/>
      <c r="AE718" s="3"/>
      <c r="AF718" s="3"/>
      <c r="AG718" s="3"/>
    </row>
    <row r="719" spans="30:33" ht="13">
      <c r="AD719" s="3"/>
      <c r="AE719" s="3"/>
      <c r="AF719" s="3"/>
      <c r="AG719" s="3"/>
    </row>
    <row r="720" spans="30:33" ht="13">
      <c r="AD720" s="3"/>
      <c r="AE720" s="3"/>
      <c r="AF720" s="3"/>
      <c r="AG720" s="3"/>
    </row>
    <row r="721" spans="30:33" ht="13">
      <c r="AD721" s="3"/>
      <c r="AE721" s="3"/>
      <c r="AF721" s="3"/>
      <c r="AG721" s="3"/>
    </row>
    <row r="722" spans="30:33" ht="13">
      <c r="AD722" s="3"/>
      <c r="AE722" s="3"/>
      <c r="AF722" s="3"/>
      <c r="AG722" s="3"/>
    </row>
    <row r="723" spans="30:33" ht="13">
      <c r="AD723" s="3"/>
      <c r="AE723" s="3"/>
      <c r="AF723" s="3"/>
      <c r="AG723" s="3"/>
    </row>
    <row r="724" spans="30:33" ht="13">
      <c r="AD724" s="3"/>
      <c r="AE724" s="3"/>
      <c r="AF724" s="3"/>
      <c r="AG724" s="3"/>
    </row>
    <row r="725" spans="30:33" ht="13">
      <c r="AD725" s="3"/>
      <c r="AE725" s="3"/>
      <c r="AF725" s="3"/>
      <c r="AG725" s="3"/>
    </row>
    <row r="726" spans="30:33" ht="13">
      <c r="AD726" s="3"/>
      <c r="AE726" s="3"/>
      <c r="AF726" s="3"/>
      <c r="AG726" s="3"/>
    </row>
    <row r="727" spans="30:33" ht="13">
      <c r="AD727" s="3"/>
      <c r="AE727" s="3"/>
      <c r="AF727" s="3"/>
      <c r="AG727" s="3"/>
    </row>
    <row r="728" spans="30:33" ht="13">
      <c r="AD728" s="3"/>
      <c r="AE728" s="3"/>
      <c r="AF728" s="3"/>
      <c r="AG728" s="3"/>
    </row>
    <row r="729" spans="30:33" ht="13">
      <c r="AD729" s="3"/>
      <c r="AE729" s="3"/>
      <c r="AF729" s="3"/>
      <c r="AG729" s="3"/>
    </row>
    <row r="730" spans="30:33" ht="13">
      <c r="AD730" s="3"/>
      <c r="AE730" s="3"/>
      <c r="AF730" s="3"/>
      <c r="AG730" s="3"/>
    </row>
    <row r="731" spans="30:33" ht="13">
      <c r="AD731" s="3"/>
      <c r="AE731" s="3"/>
      <c r="AF731" s="3"/>
      <c r="AG731" s="3"/>
    </row>
    <row r="732" spans="30:33" ht="13">
      <c r="AD732" s="3"/>
      <c r="AE732" s="3"/>
      <c r="AF732" s="3"/>
      <c r="AG732" s="3"/>
    </row>
    <row r="733" spans="30:33" ht="13">
      <c r="AD733" s="3"/>
      <c r="AE733" s="3"/>
      <c r="AF733" s="3"/>
      <c r="AG733" s="3"/>
    </row>
    <row r="734" spans="30:33" ht="13">
      <c r="AD734" s="3"/>
      <c r="AE734" s="3"/>
      <c r="AF734" s="3"/>
      <c r="AG734" s="3"/>
    </row>
    <row r="735" spans="30:33" ht="13">
      <c r="AD735" s="3"/>
      <c r="AE735" s="3"/>
      <c r="AF735" s="3"/>
      <c r="AG735" s="3"/>
    </row>
    <row r="736" spans="30:33" ht="13">
      <c r="AD736" s="3"/>
      <c r="AE736" s="3"/>
      <c r="AF736" s="3"/>
      <c r="AG736" s="3"/>
    </row>
    <row r="737" spans="30:33" ht="13">
      <c r="AD737" s="3"/>
      <c r="AE737" s="3"/>
      <c r="AF737" s="3"/>
      <c r="AG737" s="3"/>
    </row>
    <row r="738" spans="30:33" ht="13">
      <c r="AD738" s="3"/>
      <c r="AE738" s="3"/>
      <c r="AF738" s="3"/>
      <c r="AG738" s="3"/>
    </row>
    <row r="739" spans="30:33" ht="13">
      <c r="AD739" s="3"/>
      <c r="AE739" s="3"/>
      <c r="AF739" s="3"/>
      <c r="AG739" s="3"/>
    </row>
    <row r="740" spans="30:33" ht="13">
      <c r="AD740" s="3"/>
      <c r="AE740" s="3"/>
      <c r="AF740" s="3"/>
      <c r="AG740" s="3"/>
    </row>
    <row r="741" spans="30:33" ht="13">
      <c r="AD741" s="3"/>
      <c r="AE741" s="3"/>
      <c r="AF741" s="3"/>
      <c r="AG741" s="3"/>
    </row>
    <row r="742" spans="30:33" ht="13">
      <c r="AD742" s="3"/>
      <c r="AE742" s="3"/>
      <c r="AF742" s="3"/>
      <c r="AG742" s="3"/>
    </row>
    <row r="743" spans="30:33" ht="13">
      <c r="AD743" s="3"/>
      <c r="AE743" s="3"/>
      <c r="AF743" s="3"/>
      <c r="AG743" s="3"/>
    </row>
    <row r="744" spans="30:33" ht="13">
      <c r="AD744" s="3"/>
      <c r="AE744" s="3"/>
      <c r="AF744" s="3"/>
      <c r="AG744" s="3"/>
    </row>
    <row r="745" spans="30:33" ht="13">
      <c r="AD745" s="3"/>
      <c r="AE745" s="3"/>
      <c r="AF745" s="3"/>
      <c r="AG745" s="3"/>
    </row>
    <row r="746" spans="30:33" ht="13">
      <c r="AD746" s="3"/>
      <c r="AE746" s="3"/>
      <c r="AF746" s="3"/>
      <c r="AG746" s="3"/>
    </row>
    <row r="747" spans="30:33" ht="13">
      <c r="AD747" s="3"/>
      <c r="AE747" s="3"/>
      <c r="AF747" s="3"/>
      <c r="AG747" s="3"/>
    </row>
    <row r="748" spans="30:33" ht="13">
      <c r="AD748" s="3"/>
      <c r="AE748" s="3"/>
      <c r="AF748" s="3"/>
      <c r="AG748" s="3"/>
    </row>
    <row r="749" spans="30:33" ht="13">
      <c r="AD749" s="3"/>
      <c r="AE749" s="3"/>
      <c r="AF749" s="3"/>
      <c r="AG749" s="3"/>
    </row>
    <row r="750" spans="30:33" ht="13">
      <c r="AD750" s="3"/>
      <c r="AE750" s="3"/>
      <c r="AF750" s="3"/>
      <c r="AG750" s="3"/>
    </row>
    <row r="751" spans="30:33" ht="13">
      <c r="AD751" s="3"/>
      <c r="AE751" s="3"/>
      <c r="AF751" s="3"/>
      <c r="AG751" s="3"/>
    </row>
    <row r="752" spans="30:33" ht="13">
      <c r="AD752" s="3"/>
      <c r="AE752" s="3"/>
      <c r="AF752" s="3"/>
      <c r="AG752" s="3"/>
    </row>
    <row r="753" spans="30:33" ht="13">
      <c r="AD753" s="3"/>
      <c r="AE753" s="3"/>
      <c r="AF753" s="3"/>
      <c r="AG753" s="3"/>
    </row>
    <row r="754" spans="30:33" ht="13">
      <c r="AD754" s="3"/>
      <c r="AE754" s="3"/>
      <c r="AF754" s="3"/>
      <c r="AG754" s="3"/>
    </row>
    <row r="755" spans="30:33" ht="13">
      <c r="AD755" s="3"/>
      <c r="AE755" s="3"/>
      <c r="AF755" s="3"/>
      <c r="AG755" s="3"/>
    </row>
    <row r="756" spans="30:33" ht="13">
      <c r="AD756" s="3"/>
      <c r="AE756" s="3"/>
      <c r="AF756" s="3"/>
      <c r="AG756" s="3"/>
    </row>
    <row r="757" spans="30:33" ht="13">
      <c r="AD757" s="3"/>
      <c r="AE757" s="3"/>
      <c r="AF757" s="3"/>
      <c r="AG757" s="3"/>
    </row>
    <row r="758" spans="30:33" ht="13">
      <c r="AD758" s="3"/>
      <c r="AE758" s="3"/>
      <c r="AF758" s="3"/>
      <c r="AG758" s="3"/>
    </row>
    <row r="759" spans="30:33" ht="13">
      <c r="AD759" s="3"/>
      <c r="AE759" s="3"/>
      <c r="AF759" s="3"/>
      <c r="AG759" s="3"/>
    </row>
    <row r="760" spans="30:33" ht="13">
      <c r="AD760" s="3"/>
      <c r="AE760" s="3"/>
      <c r="AF760" s="3"/>
      <c r="AG760" s="3"/>
    </row>
    <row r="761" spans="30:33" ht="13">
      <c r="AD761" s="3"/>
      <c r="AE761" s="3"/>
      <c r="AF761" s="3"/>
      <c r="AG761" s="3"/>
    </row>
    <row r="762" spans="30:33" ht="13">
      <c r="AD762" s="3"/>
      <c r="AE762" s="3"/>
      <c r="AF762" s="3"/>
      <c r="AG762" s="3"/>
    </row>
    <row r="763" spans="30:33" ht="13">
      <c r="AD763" s="3"/>
      <c r="AE763" s="3"/>
      <c r="AF763" s="3"/>
      <c r="AG763" s="3"/>
    </row>
    <row r="764" spans="30:33" ht="13">
      <c r="AD764" s="3"/>
      <c r="AE764" s="3"/>
      <c r="AF764" s="3"/>
      <c r="AG764" s="3"/>
    </row>
    <row r="765" spans="30:33" ht="13">
      <c r="AD765" s="3"/>
      <c r="AE765" s="3"/>
      <c r="AF765" s="3"/>
      <c r="AG765" s="3"/>
    </row>
    <row r="766" spans="30:33" ht="13">
      <c r="AD766" s="3"/>
      <c r="AE766" s="3"/>
      <c r="AF766" s="3"/>
      <c r="AG766" s="3"/>
    </row>
    <row r="767" spans="30:33" ht="13">
      <c r="AD767" s="3"/>
      <c r="AE767" s="3"/>
      <c r="AF767" s="3"/>
      <c r="AG767" s="3"/>
    </row>
    <row r="768" spans="30:33" ht="13">
      <c r="AD768" s="3"/>
      <c r="AE768" s="3"/>
      <c r="AF768" s="3"/>
      <c r="AG768" s="3"/>
    </row>
    <row r="769" spans="30:33" ht="13">
      <c r="AD769" s="3"/>
      <c r="AE769" s="3"/>
      <c r="AF769" s="3"/>
      <c r="AG769" s="3"/>
    </row>
    <row r="770" spans="30:33" ht="13">
      <c r="AD770" s="3"/>
      <c r="AE770" s="3"/>
      <c r="AF770" s="3"/>
      <c r="AG770" s="3"/>
    </row>
    <row r="771" spans="30:33" ht="13">
      <c r="AD771" s="3"/>
      <c r="AE771" s="3"/>
      <c r="AF771" s="3"/>
      <c r="AG771" s="3"/>
    </row>
    <row r="772" spans="30:33" ht="13">
      <c r="AD772" s="3"/>
      <c r="AE772" s="3"/>
      <c r="AF772" s="3"/>
      <c r="AG772" s="3"/>
    </row>
    <row r="773" spans="30:33" ht="13">
      <c r="AD773" s="3"/>
      <c r="AE773" s="3"/>
      <c r="AF773" s="3"/>
      <c r="AG773" s="3"/>
    </row>
    <row r="774" spans="30:33" ht="13">
      <c r="AD774" s="3"/>
      <c r="AE774" s="3"/>
      <c r="AF774" s="3"/>
      <c r="AG774" s="3"/>
    </row>
    <row r="775" spans="30:33" ht="13">
      <c r="AD775" s="3"/>
      <c r="AE775" s="3"/>
      <c r="AF775" s="3"/>
      <c r="AG775" s="3"/>
    </row>
    <row r="776" spans="30:33" ht="13">
      <c r="AD776" s="3"/>
      <c r="AE776" s="3"/>
      <c r="AF776" s="3"/>
      <c r="AG776" s="3"/>
    </row>
    <row r="777" spans="30:33" ht="13">
      <c r="AD777" s="3"/>
      <c r="AE777" s="3"/>
      <c r="AF777" s="3"/>
      <c r="AG777" s="3"/>
    </row>
    <row r="778" spans="30:33" ht="13">
      <c r="AD778" s="3"/>
      <c r="AE778" s="3"/>
      <c r="AF778" s="3"/>
      <c r="AG778" s="3"/>
    </row>
    <row r="779" spans="30:33" ht="13">
      <c r="AD779" s="3"/>
      <c r="AE779" s="3"/>
      <c r="AF779" s="3"/>
      <c r="AG779" s="3"/>
    </row>
    <row r="780" spans="30:33" ht="13">
      <c r="AD780" s="3"/>
      <c r="AE780" s="3"/>
      <c r="AF780" s="3"/>
      <c r="AG780" s="3"/>
    </row>
    <row r="781" spans="30:33" ht="13">
      <c r="AD781" s="3"/>
      <c r="AE781" s="3"/>
      <c r="AF781" s="3"/>
      <c r="AG781" s="3"/>
    </row>
    <row r="782" spans="30:33" ht="13">
      <c r="AD782" s="3"/>
      <c r="AE782" s="3"/>
      <c r="AF782" s="3"/>
      <c r="AG782" s="3"/>
    </row>
    <row r="783" spans="30:33" ht="13">
      <c r="AD783" s="3"/>
      <c r="AE783" s="3"/>
      <c r="AF783" s="3"/>
      <c r="AG783" s="3"/>
    </row>
    <row r="784" spans="30:33" ht="13">
      <c r="AD784" s="3"/>
      <c r="AE784" s="3"/>
      <c r="AF784" s="3"/>
      <c r="AG784" s="3"/>
    </row>
    <row r="785" spans="30:33" ht="13">
      <c r="AD785" s="3"/>
      <c r="AE785" s="3"/>
      <c r="AF785" s="3"/>
      <c r="AG785" s="3"/>
    </row>
    <row r="786" spans="30:33" ht="13">
      <c r="AD786" s="3"/>
      <c r="AE786" s="3"/>
      <c r="AF786" s="3"/>
      <c r="AG786" s="3"/>
    </row>
    <row r="787" spans="30:33" ht="13">
      <c r="AD787" s="3"/>
      <c r="AE787" s="3"/>
      <c r="AF787" s="3"/>
      <c r="AG787" s="3"/>
    </row>
    <row r="788" spans="30:33" ht="13">
      <c r="AD788" s="3"/>
      <c r="AE788" s="3"/>
      <c r="AF788" s="3"/>
      <c r="AG788" s="3"/>
    </row>
    <row r="789" spans="30:33" ht="13">
      <c r="AD789" s="3"/>
      <c r="AE789" s="3"/>
      <c r="AF789" s="3"/>
      <c r="AG789" s="3"/>
    </row>
    <row r="790" spans="30:33" ht="13">
      <c r="AD790" s="3"/>
      <c r="AE790" s="3"/>
      <c r="AF790" s="3"/>
      <c r="AG790" s="3"/>
    </row>
    <row r="791" spans="30:33" ht="13">
      <c r="AD791" s="3"/>
      <c r="AE791" s="3"/>
      <c r="AF791" s="3"/>
      <c r="AG791" s="3"/>
    </row>
    <row r="792" spans="30:33" ht="13">
      <c r="AD792" s="3"/>
      <c r="AE792" s="3"/>
      <c r="AF792" s="3"/>
      <c r="AG792" s="3"/>
    </row>
    <row r="793" spans="30:33" ht="13">
      <c r="AD793" s="3"/>
      <c r="AE793" s="3"/>
      <c r="AF793" s="3"/>
      <c r="AG793" s="3"/>
    </row>
    <row r="794" spans="30:33" ht="13">
      <c r="AD794" s="3"/>
      <c r="AE794" s="3"/>
      <c r="AF794" s="3"/>
      <c r="AG794" s="3"/>
    </row>
    <row r="795" spans="30:33" ht="13">
      <c r="AD795" s="3"/>
      <c r="AE795" s="3"/>
      <c r="AF795" s="3"/>
      <c r="AG795" s="3"/>
    </row>
    <row r="796" spans="30:33" ht="13">
      <c r="AD796" s="3"/>
      <c r="AE796" s="3"/>
      <c r="AF796" s="3"/>
      <c r="AG796" s="3"/>
    </row>
    <row r="797" spans="30:33" ht="13">
      <c r="AD797" s="3"/>
      <c r="AE797" s="3"/>
      <c r="AF797" s="3"/>
      <c r="AG797" s="3"/>
    </row>
    <row r="798" spans="30:33" ht="13">
      <c r="AD798" s="3"/>
      <c r="AE798" s="3"/>
      <c r="AF798" s="3"/>
      <c r="AG798" s="3"/>
    </row>
    <row r="799" spans="30:33" ht="13">
      <c r="AD799" s="3"/>
      <c r="AE799" s="3"/>
      <c r="AF799" s="3"/>
      <c r="AG799" s="3"/>
    </row>
    <row r="800" spans="30:33" ht="13">
      <c r="AD800" s="3"/>
      <c r="AE800" s="3"/>
      <c r="AF800" s="3"/>
      <c r="AG800" s="3"/>
    </row>
    <row r="801" spans="30:33" ht="13">
      <c r="AD801" s="3"/>
      <c r="AE801" s="3"/>
      <c r="AF801" s="3"/>
      <c r="AG801" s="3"/>
    </row>
    <row r="802" spans="30:33" ht="13">
      <c r="AD802" s="3"/>
      <c r="AE802" s="3"/>
      <c r="AF802" s="3"/>
      <c r="AG802" s="3"/>
    </row>
    <row r="803" spans="30:33" ht="13">
      <c r="AD803" s="3"/>
      <c r="AE803" s="3"/>
      <c r="AF803" s="3"/>
      <c r="AG803" s="3"/>
    </row>
    <row r="804" spans="30:33" ht="13">
      <c r="AD804" s="3"/>
      <c r="AE804" s="3"/>
      <c r="AF804" s="3"/>
      <c r="AG804" s="3"/>
    </row>
    <row r="805" spans="30:33" ht="13">
      <c r="AD805" s="3"/>
      <c r="AE805" s="3"/>
      <c r="AF805" s="3"/>
      <c r="AG805" s="3"/>
    </row>
    <row r="806" spans="30:33" ht="13">
      <c r="AD806" s="3"/>
      <c r="AE806" s="3"/>
      <c r="AF806" s="3"/>
      <c r="AG806" s="3"/>
    </row>
    <row r="807" spans="30:33" ht="13">
      <c r="AD807" s="3"/>
      <c r="AE807" s="3"/>
      <c r="AF807" s="3"/>
      <c r="AG807" s="3"/>
    </row>
    <row r="808" spans="30:33" ht="13">
      <c r="AD808" s="3"/>
      <c r="AE808" s="3"/>
      <c r="AF808" s="3"/>
      <c r="AG808" s="3"/>
    </row>
    <row r="809" spans="30:33" ht="13">
      <c r="AD809" s="3"/>
      <c r="AE809" s="3"/>
      <c r="AF809" s="3"/>
      <c r="AG809" s="3"/>
    </row>
    <row r="810" spans="30:33" ht="13">
      <c r="AD810" s="3"/>
      <c r="AE810" s="3"/>
      <c r="AF810" s="3"/>
      <c r="AG810" s="3"/>
    </row>
    <row r="811" spans="30:33" ht="13">
      <c r="AD811" s="3"/>
      <c r="AE811" s="3"/>
      <c r="AF811" s="3"/>
      <c r="AG811" s="3"/>
    </row>
    <row r="812" spans="30:33" ht="13">
      <c r="AD812" s="3"/>
      <c r="AE812" s="3"/>
      <c r="AF812" s="3"/>
      <c r="AG812" s="3"/>
    </row>
    <row r="813" spans="30:33" ht="13">
      <c r="AD813" s="3"/>
      <c r="AE813" s="3"/>
      <c r="AF813" s="3"/>
      <c r="AG813" s="3"/>
    </row>
    <row r="814" spans="30:33" ht="13">
      <c r="AD814" s="3"/>
      <c r="AE814" s="3"/>
      <c r="AF814" s="3"/>
      <c r="AG814" s="3"/>
    </row>
    <row r="815" spans="30:33" ht="13">
      <c r="AD815" s="3"/>
      <c r="AE815" s="3"/>
      <c r="AF815" s="3"/>
      <c r="AG815" s="3"/>
    </row>
    <row r="816" spans="30:33" ht="13">
      <c r="AD816" s="3"/>
      <c r="AE816" s="3"/>
      <c r="AF816" s="3"/>
      <c r="AG816" s="3"/>
    </row>
    <row r="817" spans="30:33" ht="13">
      <c r="AD817" s="3"/>
      <c r="AE817" s="3"/>
      <c r="AF817" s="3"/>
      <c r="AG817" s="3"/>
    </row>
    <row r="818" spans="30:33" ht="13">
      <c r="AD818" s="3"/>
      <c r="AE818" s="3"/>
      <c r="AF818" s="3"/>
      <c r="AG818" s="3"/>
    </row>
    <row r="819" spans="30:33" ht="13">
      <c r="AD819" s="3"/>
      <c r="AE819" s="3"/>
      <c r="AF819" s="3"/>
      <c r="AG819" s="3"/>
    </row>
    <row r="820" spans="30:33" ht="13">
      <c r="AD820" s="3"/>
      <c r="AE820" s="3"/>
      <c r="AF820" s="3"/>
      <c r="AG820" s="3"/>
    </row>
    <row r="821" spans="30:33" ht="13">
      <c r="AD821" s="3"/>
      <c r="AE821" s="3"/>
      <c r="AF821" s="3"/>
      <c r="AG821" s="3"/>
    </row>
    <row r="822" spans="30:33" ht="13">
      <c r="AD822" s="3"/>
      <c r="AE822" s="3"/>
      <c r="AF822" s="3"/>
      <c r="AG822" s="3"/>
    </row>
    <row r="823" spans="30:33" ht="13">
      <c r="AD823" s="3"/>
      <c r="AE823" s="3"/>
      <c r="AF823" s="3"/>
      <c r="AG823" s="3"/>
    </row>
    <row r="824" spans="30:33" ht="13">
      <c r="AD824" s="3"/>
      <c r="AE824" s="3"/>
      <c r="AF824" s="3"/>
      <c r="AG824" s="3"/>
    </row>
    <row r="825" spans="30:33" ht="13">
      <c r="AD825" s="3"/>
      <c r="AE825" s="3"/>
      <c r="AF825" s="3"/>
      <c r="AG825" s="3"/>
    </row>
    <row r="826" spans="30:33" ht="13">
      <c r="AD826" s="3"/>
      <c r="AE826" s="3"/>
      <c r="AF826" s="3"/>
      <c r="AG826" s="3"/>
    </row>
    <row r="827" spans="30:33" ht="13">
      <c r="AD827" s="3"/>
      <c r="AE827" s="3"/>
      <c r="AF827" s="3"/>
      <c r="AG827" s="3"/>
    </row>
    <row r="828" spans="30:33" ht="13">
      <c r="AD828" s="3"/>
      <c r="AE828" s="3"/>
      <c r="AF828" s="3"/>
      <c r="AG828" s="3"/>
    </row>
    <row r="829" spans="30:33" ht="13">
      <c r="AD829" s="3"/>
      <c r="AE829" s="3"/>
      <c r="AF829" s="3"/>
      <c r="AG829" s="3"/>
    </row>
    <row r="830" spans="30:33" ht="13">
      <c r="AD830" s="3"/>
      <c r="AE830" s="3"/>
      <c r="AF830" s="3"/>
      <c r="AG830" s="3"/>
    </row>
    <row r="831" spans="30:33" ht="13">
      <c r="AD831" s="3"/>
      <c r="AE831" s="3"/>
      <c r="AF831" s="3"/>
      <c r="AG831" s="3"/>
    </row>
    <row r="832" spans="30:33" ht="13">
      <c r="AD832" s="3"/>
      <c r="AE832" s="3"/>
      <c r="AF832" s="3"/>
      <c r="AG832" s="3"/>
    </row>
    <row r="833" spans="30:33" ht="13">
      <c r="AD833" s="3"/>
      <c r="AE833" s="3"/>
      <c r="AF833" s="3"/>
      <c r="AG833" s="3"/>
    </row>
    <row r="834" spans="30:33" ht="13">
      <c r="AD834" s="3"/>
      <c r="AE834" s="3"/>
      <c r="AF834" s="3"/>
      <c r="AG834" s="3"/>
    </row>
    <row r="835" spans="30:33" ht="13">
      <c r="AD835" s="3"/>
      <c r="AE835" s="3"/>
      <c r="AF835" s="3"/>
      <c r="AG835" s="3"/>
    </row>
    <row r="836" spans="30:33" ht="13">
      <c r="AD836" s="3"/>
      <c r="AE836" s="3"/>
      <c r="AF836" s="3"/>
      <c r="AG836" s="3"/>
    </row>
    <row r="837" spans="30:33" ht="13">
      <c r="AD837" s="3"/>
      <c r="AE837" s="3"/>
      <c r="AF837" s="3"/>
      <c r="AG837" s="3"/>
    </row>
    <row r="838" spans="30:33" ht="13">
      <c r="AD838" s="3"/>
      <c r="AE838" s="3"/>
      <c r="AF838" s="3"/>
      <c r="AG838" s="3"/>
    </row>
    <row r="839" spans="30:33" ht="13">
      <c r="AD839" s="3"/>
      <c r="AE839" s="3"/>
      <c r="AF839" s="3"/>
      <c r="AG839" s="3"/>
    </row>
    <row r="840" spans="30:33" ht="13">
      <c r="AD840" s="3"/>
      <c r="AE840" s="3"/>
      <c r="AF840" s="3"/>
      <c r="AG840" s="3"/>
    </row>
    <row r="841" spans="30:33" ht="13">
      <c r="AD841" s="3"/>
      <c r="AE841" s="3"/>
      <c r="AF841" s="3"/>
      <c r="AG841" s="3"/>
    </row>
    <row r="842" spans="30:33" ht="13">
      <c r="AD842" s="3"/>
      <c r="AE842" s="3"/>
      <c r="AF842" s="3"/>
      <c r="AG842" s="3"/>
    </row>
    <row r="843" spans="30:33" ht="13">
      <c r="AD843" s="3"/>
      <c r="AE843" s="3"/>
      <c r="AF843" s="3"/>
      <c r="AG843" s="3"/>
    </row>
    <row r="844" spans="30:33" ht="13">
      <c r="AD844" s="3"/>
      <c r="AE844" s="3"/>
      <c r="AF844" s="3"/>
      <c r="AG844" s="3"/>
    </row>
    <row r="845" spans="30:33" ht="13">
      <c r="AD845" s="3"/>
      <c r="AE845" s="3"/>
      <c r="AF845" s="3"/>
      <c r="AG845" s="3"/>
    </row>
    <row r="846" spans="30:33" ht="13">
      <c r="AD846" s="3"/>
      <c r="AE846" s="3"/>
      <c r="AF846" s="3"/>
      <c r="AG846" s="3"/>
    </row>
    <row r="847" spans="30:33" ht="13">
      <c r="AD847" s="3"/>
      <c r="AE847" s="3"/>
      <c r="AF847" s="3"/>
      <c r="AG847" s="3"/>
    </row>
    <row r="848" spans="30:33" ht="13">
      <c r="AD848" s="3"/>
      <c r="AE848" s="3"/>
      <c r="AF848" s="3"/>
      <c r="AG848" s="3"/>
    </row>
    <row r="849" spans="30:33" ht="13">
      <c r="AD849" s="3"/>
      <c r="AE849" s="3"/>
      <c r="AF849" s="3"/>
      <c r="AG849" s="3"/>
    </row>
    <row r="850" spans="30:33" ht="13">
      <c r="AD850" s="3"/>
      <c r="AE850" s="3"/>
      <c r="AF850" s="3"/>
      <c r="AG850" s="3"/>
    </row>
    <row r="851" spans="30:33" ht="13">
      <c r="AD851" s="3"/>
      <c r="AE851" s="3"/>
      <c r="AF851" s="3"/>
      <c r="AG851" s="3"/>
    </row>
    <row r="852" spans="30:33" ht="13">
      <c r="AD852" s="3"/>
      <c r="AE852" s="3"/>
      <c r="AF852" s="3"/>
      <c r="AG852" s="3"/>
    </row>
    <row r="853" spans="30:33" ht="13">
      <c r="AD853" s="3"/>
      <c r="AE853" s="3"/>
      <c r="AF853" s="3"/>
      <c r="AG853" s="3"/>
    </row>
    <row r="854" spans="30:33" ht="13">
      <c r="AD854" s="3"/>
      <c r="AE854" s="3"/>
      <c r="AF854" s="3"/>
      <c r="AG854" s="3"/>
    </row>
    <row r="855" spans="30:33" ht="13">
      <c r="AD855" s="3"/>
      <c r="AE855" s="3"/>
      <c r="AF855" s="3"/>
      <c r="AG855" s="3"/>
    </row>
    <row r="856" spans="30:33" ht="13">
      <c r="AD856" s="3"/>
      <c r="AE856" s="3"/>
      <c r="AF856" s="3"/>
      <c r="AG856" s="3"/>
    </row>
    <row r="857" spans="30:33" ht="13">
      <c r="AD857" s="3"/>
      <c r="AE857" s="3"/>
      <c r="AF857" s="3"/>
      <c r="AG857" s="3"/>
    </row>
    <row r="858" spans="30:33" ht="13">
      <c r="AD858" s="3"/>
      <c r="AE858" s="3"/>
      <c r="AF858" s="3"/>
      <c r="AG858" s="3"/>
    </row>
    <row r="859" spans="30:33" ht="13">
      <c r="AD859" s="3"/>
      <c r="AE859" s="3"/>
      <c r="AF859" s="3"/>
      <c r="AG859" s="3"/>
    </row>
    <row r="860" spans="30:33" ht="13">
      <c r="AD860" s="3"/>
      <c r="AE860" s="3"/>
      <c r="AF860" s="3"/>
      <c r="AG860" s="3"/>
    </row>
    <row r="861" spans="30:33" ht="13">
      <c r="AD861" s="3"/>
      <c r="AE861" s="3"/>
      <c r="AF861" s="3"/>
      <c r="AG861" s="3"/>
    </row>
    <row r="862" spans="30:33" ht="13">
      <c r="AD862" s="3"/>
      <c r="AE862" s="3"/>
      <c r="AF862" s="3"/>
      <c r="AG862" s="3"/>
    </row>
    <row r="863" spans="30:33" ht="13">
      <c r="AD863" s="3"/>
      <c r="AE863" s="3"/>
      <c r="AF863" s="3"/>
      <c r="AG863" s="3"/>
    </row>
    <row r="864" spans="30:33" ht="13">
      <c r="AD864" s="3"/>
      <c r="AE864" s="3"/>
      <c r="AF864" s="3"/>
      <c r="AG864" s="3"/>
    </row>
    <row r="865" spans="30:33" ht="13">
      <c r="AD865" s="3"/>
      <c r="AE865" s="3"/>
      <c r="AF865" s="3"/>
      <c r="AG865" s="3"/>
    </row>
    <row r="866" spans="30:33" ht="13">
      <c r="AD866" s="3"/>
      <c r="AE866" s="3"/>
      <c r="AF866" s="3"/>
      <c r="AG866" s="3"/>
    </row>
    <row r="867" spans="30:33" ht="13">
      <c r="AD867" s="3"/>
      <c r="AE867" s="3"/>
      <c r="AF867" s="3"/>
      <c r="AG867" s="3"/>
    </row>
    <row r="868" spans="30:33" ht="13">
      <c r="AD868" s="3"/>
      <c r="AE868" s="3"/>
      <c r="AF868" s="3"/>
      <c r="AG868" s="3"/>
    </row>
    <row r="869" spans="30:33" ht="13">
      <c r="AD869" s="3"/>
      <c r="AE869" s="3"/>
      <c r="AF869" s="3"/>
      <c r="AG869" s="3"/>
    </row>
    <row r="870" spans="30:33" ht="13">
      <c r="AD870" s="3"/>
      <c r="AE870" s="3"/>
      <c r="AF870" s="3"/>
      <c r="AG870" s="3"/>
    </row>
    <row r="871" spans="30:33" ht="13">
      <c r="AD871" s="3"/>
      <c r="AE871" s="3"/>
      <c r="AF871" s="3"/>
      <c r="AG871" s="3"/>
    </row>
    <row r="872" spans="30:33" ht="13">
      <c r="AD872" s="3"/>
      <c r="AE872" s="3"/>
      <c r="AF872" s="3"/>
      <c r="AG872" s="3"/>
    </row>
    <row r="873" spans="30:33" ht="13">
      <c r="AD873" s="3"/>
      <c r="AE873" s="3"/>
      <c r="AF873" s="3"/>
      <c r="AG873" s="3"/>
    </row>
    <row r="874" spans="30:33" ht="13">
      <c r="AD874" s="3"/>
      <c r="AE874" s="3"/>
      <c r="AF874" s="3"/>
      <c r="AG874" s="3"/>
    </row>
    <row r="875" spans="30:33" ht="13">
      <c r="AD875" s="3"/>
      <c r="AE875" s="3"/>
      <c r="AF875" s="3"/>
      <c r="AG875" s="3"/>
    </row>
    <row r="876" spans="30:33" ht="13">
      <c r="AD876" s="3"/>
      <c r="AE876" s="3"/>
      <c r="AF876" s="3"/>
      <c r="AG876" s="3"/>
    </row>
    <row r="877" spans="30:33" ht="13">
      <c r="AD877" s="3"/>
      <c r="AE877" s="3"/>
      <c r="AF877" s="3"/>
      <c r="AG877" s="3"/>
    </row>
    <row r="878" spans="30:33" ht="13">
      <c r="AD878" s="3"/>
      <c r="AE878" s="3"/>
      <c r="AF878" s="3"/>
      <c r="AG878" s="3"/>
    </row>
    <row r="879" spans="30:33" ht="13">
      <c r="AD879" s="3"/>
      <c r="AE879" s="3"/>
      <c r="AF879" s="3"/>
      <c r="AG879" s="3"/>
    </row>
    <row r="880" spans="30:33" ht="13">
      <c r="AD880" s="3"/>
      <c r="AE880" s="3"/>
      <c r="AF880" s="3"/>
      <c r="AG880" s="3"/>
    </row>
    <row r="881" spans="30:33" ht="13">
      <c r="AD881" s="3"/>
      <c r="AE881" s="3"/>
      <c r="AF881" s="3"/>
      <c r="AG881" s="3"/>
    </row>
    <row r="882" spans="30:33" ht="13">
      <c r="AD882" s="3"/>
      <c r="AE882" s="3"/>
      <c r="AF882" s="3"/>
      <c r="AG882" s="3"/>
    </row>
    <row r="883" spans="30:33" ht="13">
      <c r="AD883" s="3"/>
      <c r="AE883" s="3"/>
      <c r="AF883" s="3"/>
      <c r="AG883" s="3"/>
    </row>
    <row r="884" spans="30:33" ht="13">
      <c r="AD884" s="3"/>
      <c r="AE884" s="3"/>
      <c r="AF884" s="3"/>
      <c r="AG884" s="3"/>
    </row>
    <row r="885" spans="30:33" ht="13">
      <c r="AD885" s="3"/>
      <c r="AE885" s="3"/>
      <c r="AF885" s="3"/>
      <c r="AG885" s="3"/>
    </row>
    <row r="886" spans="30:33" ht="13">
      <c r="AD886" s="3"/>
      <c r="AE886" s="3"/>
      <c r="AF886" s="3"/>
      <c r="AG886" s="3"/>
    </row>
    <row r="887" spans="30:33" ht="13">
      <c r="AD887" s="3"/>
      <c r="AE887" s="3"/>
      <c r="AF887" s="3"/>
      <c r="AG887" s="3"/>
    </row>
    <row r="888" spans="30:33" ht="13">
      <c r="AD888" s="3"/>
      <c r="AE888" s="3"/>
      <c r="AF888" s="3"/>
      <c r="AG888" s="3"/>
    </row>
    <row r="889" spans="30:33" ht="13">
      <c r="AD889" s="3"/>
      <c r="AE889" s="3"/>
      <c r="AF889" s="3"/>
      <c r="AG889" s="3"/>
    </row>
    <row r="890" spans="30:33" ht="13">
      <c r="AD890" s="3"/>
      <c r="AE890" s="3"/>
      <c r="AF890" s="3"/>
      <c r="AG890" s="3"/>
    </row>
    <row r="891" spans="30:33" ht="13">
      <c r="AD891" s="3"/>
      <c r="AE891" s="3"/>
      <c r="AF891" s="3"/>
      <c r="AG891" s="3"/>
    </row>
    <row r="892" spans="30:33" ht="13">
      <c r="AD892" s="3"/>
      <c r="AE892" s="3"/>
      <c r="AF892" s="3"/>
      <c r="AG892" s="3"/>
    </row>
    <row r="893" spans="30:33" ht="13">
      <c r="AD893" s="3"/>
      <c r="AE893" s="3"/>
      <c r="AF893" s="3"/>
      <c r="AG893" s="3"/>
    </row>
    <row r="894" spans="30:33" ht="13">
      <c r="AD894" s="3"/>
      <c r="AE894" s="3"/>
      <c r="AF894" s="3"/>
      <c r="AG894" s="3"/>
    </row>
    <row r="895" spans="30:33" ht="13">
      <c r="AD895" s="3"/>
      <c r="AE895" s="3"/>
      <c r="AF895" s="3"/>
      <c r="AG895" s="3"/>
    </row>
    <row r="896" spans="30:33" ht="13">
      <c r="AD896" s="3"/>
      <c r="AE896" s="3"/>
      <c r="AF896" s="3"/>
      <c r="AG896" s="3"/>
    </row>
    <row r="897" spans="30:33" ht="13">
      <c r="AD897" s="3"/>
      <c r="AE897" s="3"/>
      <c r="AF897" s="3"/>
      <c r="AG897" s="3"/>
    </row>
    <row r="898" spans="30:33" ht="13">
      <c r="AD898" s="3"/>
      <c r="AE898" s="3"/>
      <c r="AF898" s="3"/>
      <c r="AG898" s="3"/>
    </row>
    <row r="899" spans="30:33" ht="13">
      <c r="AD899" s="3"/>
      <c r="AE899" s="3"/>
      <c r="AF899" s="3"/>
      <c r="AG899" s="3"/>
    </row>
    <row r="900" spans="30:33" ht="13">
      <c r="AD900" s="3"/>
      <c r="AE900" s="3"/>
      <c r="AF900" s="3"/>
      <c r="AG900" s="3"/>
    </row>
    <row r="901" spans="30:33" ht="13">
      <c r="AD901" s="3"/>
      <c r="AE901" s="3"/>
      <c r="AF901" s="3"/>
      <c r="AG901" s="3"/>
    </row>
    <row r="902" spans="30:33" ht="13">
      <c r="AD902" s="3"/>
      <c r="AE902" s="3"/>
      <c r="AF902" s="3"/>
      <c r="AG902" s="3"/>
    </row>
    <row r="903" spans="30:33" ht="13">
      <c r="AD903" s="3"/>
      <c r="AE903" s="3"/>
      <c r="AF903" s="3"/>
      <c r="AG903" s="3"/>
    </row>
    <row r="904" spans="30:33" ht="13">
      <c r="AD904" s="3"/>
      <c r="AE904" s="3"/>
      <c r="AF904" s="3"/>
      <c r="AG904" s="3"/>
    </row>
    <row r="905" spans="30:33" ht="13">
      <c r="AD905" s="3"/>
      <c r="AE905" s="3"/>
      <c r="AF905" s="3"/>
      <c r="AG905" s="3"/>
    </row>
    <row r="906" spans="30:33" ht="13">
      <c r="AD906" s="3"/>
      <c r="AE906" s="3"/>
      <c r="AF906" s="3"/>
      <c r="AG906" s="3"/>
    </row>
    <row r="907" spans="30:33" ht="13">
      <c r="AD907" s="3"/>
      <c r="AE907" s="3"/>
      <c r="AF907" s="3"/>
      <c r="AG907" s="3"/>
    </row>
    <row r="908" spans="30:33" ht="13">
      <c r="AD908" s="3"/>
      <c r="AE908" s="3"/>
      <c r="AF908" s="3"/>
      <c r="AG908" s="3"/>
    </row>
    <row r="909" spans="30:33" ht="13">
      <c r="AD909" s="3"/>
      <c r="AE909" s="3"/>
      <c r="AF909" s="3"/>
      <c r="AG909" s="3"/>
    </row>
    <row r="910" spans="30:33" ht="13">
      <c r="AD910" s="3"/>
      <c r="AE910" s="3"/>
      <c r="AF910" s="3"/>
      <c r="AG910" s="3"/>
    </row>
    <row r="911" spans="30:33" ht="13">
      <c r="AD911" s="3"/>
      <c r="AE911" s="3"/>
      <c r="AF911" s="3"/>
      <c r="AG911" s="3"/>
    </row>
    <row r="912" spans="30:33" ht="13">
      <c r="AD912" s="3"/>
      <c r="AE912" s="3"/>
      <c r="AF912" s="3"/>
      <c r="AG912" s="3"/>
    </row>
    <row r="913" spans="30:33" ht="13">
      <c r="AD913" s="3"/>
      <c r="AE913" s="3"/>
      <c r="AF913" s="3"/>
      <c r="AG913" s="3"/>
    </row>
    <row r="914" spans="30:33" ht="13">
      <c r="AD914" s="3"/>
      <c r="AE914" s="3"/>
      <c r="AF914" s="3"/>
      <c r="AG914" s="3"/>
    </row>
    <row r="915" spans="30:33" ht="13">
      <c r="AD915" s="3"/>
      <c r="AE915" s="3"/>
      <c r="AF915" s="3"/>
      <c r="AG915" s="3"/>
    </row>
    <row r="916" spans="30:33" ht="13">
      <c r="AD916" s="3"/>
      <c r="AE916" s="3"/>
      <c r="AF916" s="3"/>
      <c r="AG916" s="3"/>
    </row>
    <row r="917" spans="30:33" ht="13">
      <c r="AD917" s="3"/>
      <c r="AE917" s="3"/>
      <c r="AF917" s="3"/>
      <c r="AG917" s="3"/>
    </row>
    <row r="918" spans="30:33" ht="13">
      <c r="AD918" s="3"/>
      <c r="AE918" s="3"/>
      <c r="AF918" s="3"/>
      <c r="AG918" s="3"/>
    </row>
    <row r="919" spans="30:33" ht="13">
      <c r="AD919" s="3"/>
      <c r="AE919" s="3"/>
      <c r="AF919" s="3"/>
      <c r="AG919" s="3"/>
    </row>
    <row r="920" spans="30:33" ht="13">
      <c r="AD920" s="3"/>
      <c r="AE920" s="3"/>
      <c r="AF920" s="3"/>
      <c r="AG920" s="3"/>
    </row>
    <row r="921" spans="30:33" ht="13">
      <c r="AD921" s="3"/>
      <c r="AE921" s="3"/>
      <c r="AF921" s="3"/>
      <c r="AG921" s="3"/>
    </row>
    <row r="922" spans="30:33" ht="13">
      <c r="AD922" s="3"/>
      <c r="AE922" s="3"/>
      <c r="AF922" s="3"/>
      <c r="AG922" s="3"/>
    </row>
    <row r="923" spans="30:33" ht="13">
      <c r="AD923" s="3"/>
      <c r="AE923" s="3"/>
      <c r="AF923" s="3"/>
      <c r="AG923" s="3"/>
    </row>
    <row r="924" spans="30:33" ht="13">
      <c r="AD924" s="3"/>
      <c r="AE924" s="3"/>
      <c r="AF924" s="3"/>
      <c r="AG924" s="3"/>
    </row>
    <row r="925" spans="30:33" ht="13">
      <c r="AD925" s="3"/>
      <c r="AE925" s="3"/>
      <c r="AF925" s="3"/>
      <c r="AG925" s="3"/>
    </row>
    <row r="926" spans="30:33" ht="13">
      <c r="AD926" s="3"/>
      <c r="AE926" s="3"/>
      <c r="AF926" s="3"/>
      <c r="AG926" s="3"/>
    </row>
    <row r="927" spans="30:33" ht="13">
      <c r="AD927" s="3"/>
      <c r="AE927" s="3"/>
      <c r="AF927" s="3"/>
      <c r="AG927" s="3"/>
    </row>
    <row r="928" spans="30:33" ht="13">
      <c r="AD928" s="3"/>
      <c r="AE928" s="3"/>
      <c r="AF928" s="3"/>
      <c r="AG928" s="3"/>
    </row>
    <row r="929" spans="30:33" ht="13">
      <c r="AD929" s="3"/>
      <c r="AE929" s="3"/>
      <c r="AF929" s="3"/>
      <c r="AG929" s="3"/>
    </row>
    <row r="930" spans="30:33" ht="13">
      <c r="AD930" s="3"/>
      <c r="AE930" s="3"/>
      <c r="AF930" s="3"/>
      <c r="AG930" s="3"/>
    </row>
    <row r="931" spans="30:33" ht="13">
      <c r="AD931" s="3"/>
      <c r="AE931" s="3"/>
      <c r="AF931" s="3"/>
      <c r="AG931" s="3"/>
    </row>
    <row r="932" spans="30:33" ht="13">
      <c r="AD932" s="3"/>
      <c r="AE932" s="3"/>
      <c r="AF932" s="3"/>
      <c r="AG932" s="3"/>
    </row>
    <row r="933" spans="30:33" ht="13">
      <c r="AD933" s="3"/>
      <c r="AE933" s="3"/>
      <c r="AF933" s="3"/>
      <c r="AG933" s="3"/>
    </row>
    <row r="934" spans="30:33" ht="13">
      <c r="AD934" s="3"/>
      <c r="AE934" s="3"/>
      <c r="AF934" s="3"/>
      <c r="AG934" s="3"/>
    </row>
    <row r="935" spans="30:33" ht="13">
      <c r="AD935" s="3"/>
      <c r="AE935" s="3"/>
      <c r="AF935" s="3"/>
      <c r="AG935" s="3"/>
    </row>
    <row r="936" spans="30:33" ht="13">
      <c r="AD936" s="3"/>
      <c r="AE936" s="3"/>
      <c r="AF936" s="3"/>
      <c r="AG936" s="3"/>
    </row>
    <row r="937" spans="30:33" ht="13">
      <c r="AD937" s="3"/>
      <c r="AE937" s="3"/>
      <c r="AF937" s="3"/>
      <c r="AG937" s="3"/>
    </row>
    <row r="938" spans="30:33" ht="13">
      <c r="AD938" s="3"/>
      <c r="AE938" s="3"/>
      <c r="AF938" s="3"/>
      <c r="AG938" s="3"/>
    </row>
    <row r="939" spans="30:33" ht="13">
      <c r="AD939" s="3"/>
      <c r="AE939" s="3"/>
      <c r="AF939" s="3"/>
      <c r="AG939" s="3"/>
    </row>
    <row r="940" spans="30:33" ht="13">
      <c r="AD940" s="3"/>
      <c r="AE940" s="3"/>
      <c r="AF940" s="3"/>
      <c r="AG940" s="3"/>
    </row>
    <row r="941" spans="30:33" ht="13">
      <c r="AD941" s="3"/>
      <c r="AE941" s="3"/>
      <c r="AF941" s="3"/>
      <c r="AG941" s="3"/>
    </row>
    <row r="942" spans="30:33" ht="13">
      <c r="AD942" s="3"/>
      <c r="AE942" s="3"/>
      <c r="AF942" s="3"/>
      <c r="AG942" s="3"/>
    </row>
    <row r="943" spans="30:33" ht="13">
      <c r="AD943" s="3"/>
      <c r="AE943" s="3"/>
      <c r="AF943" s="3"/>
      <c r="AG943" s="3"/>
    </row>
    <row r="944" spans="30:33" ht="13">
      <c r="AD944" s="3"/>
      <c r="AE944" s="3"/>
      <c r="AF944" s="3"/>
      <c r="AG944" s="3"/>
    </row>
    <row r="945" spans="30:33" ht="13">
      <c r="AD945" s="3"/>
      <c r="AE945" s="3"/>
      <c r="AF945" s="3"/>
      <c r="AG945" s="3"/>
    </row>
    <row r="946" spans="30:33" ht="13">
      <c r="AD946" s="3"/>
      <c r="AE946" s="3"/>
      <c r="AF946" s="3"/>
      <c r="AG946" s="3"/>
    </row>
    <row r="947" spans="30:33" ht="13">
      <c r="AD947" s="3"/>
      <c r="AE947" s="3"/>
      <c r="AF947" s="3"/>
      <c r="AG947" s="3"/>
    </row>
    <row r="948" spans="30:33" ht="13">
      <c r="AD948" s="3"/>
      <c r="AE948" s="3"/>
      <c r="AF948" s="3"/>
      <c r="AG948" s="3"/>
    </row>
    <row r="949" spans="30:33" ht="13">
      <c r="AD949" s="3"/>
      <c r="AE949" s="3"/>
      <c r="AF949" s="3"/>
      <c r="AG949" s="3"/>
    </row>
    <row r="950" spans="30:33" ht="13">
      <c r="AD950" s="3"/>
      <c r="AE950" s="3"/>
      <c r="AF950" s="3"/>
      <c r="AG950" s="3"/>
    </row>
    <row r="951" spans="30:33" ht="13">
      <c r="AD951" s="3"/>
      <c r="AE951" s="3"/>
      <c r="AF951" s="3"/>
      <c r="AG951" s="3"/>
    </row>
    <row r="952" spans="30:33" ht="13">
      <c r="AD952" s="3"/>
      <c r="AE952" s="3"/>
      <c r="AF952" s="3"/>
      <c r="AG952" s="3"/>
    </row>
    <row r="953" spans="30:33" ht="13">
      <c r="AD953" s="3"/>
      <c r="AE953" s="3"/>
      <c r="AF953" s="3"/>
      <c r="AG953" s="3"/>
    </row>
    <row r="954" spans="30:33" ht="13">
      <c r="AD954" s="3"/>
      <c r="AE954" s="3"/>
      <c r="AF954" s="3"/>
      <c r="AG954" s="3"/>
    </row>
    <row r="955" spans="30:33" ht="13">
      <c r="AD955" s="3"/>
      <c r="AE955" s="3"/>
      <c r="AF955" s="3"/>
      <c r="AG955" s="3"/>
    </row>
    <row r="956" spans="30:33" ht="13">
      <c r="AD956" s="3"/>
      <c r="AE956" s="3"/>
      <c r="AF956" s="3"/>
      <c r="AG956" s="3"/>
    </row>
    <row r="957" spans="30:33" ht="13">
      <c r="AD957" s="3"/>
      <c r="AE957" s="3"/>
      <c r="AF957" s="3"/>
      <c r="AG957" s="3"/>
    </row>
    <row r="958" spans="30:33" ht="13">
      <c r="AD958" s="3"/>
      <c r="AE958" s="3"/>
      <c r="AF958" s="3"/>
      <c r="AG958" s="3"/>
    </row>
    <row r="959" spans="30:33" ht="13">
      <c r="AD959" s="3"/>
      <c r="AE959" s="3"/>
      <c r="AF959" s="3"/>
      <c r="AG959" s="3"/>
    </row>
    <row r="960" spans="30:33" ht="13">
      <c r="AD960" s="3"/>
      <c r="AE960" s="3"/>
      <c r="AF960" s="3"/>
      <c r="AG960" s="3"/>
    </row>
    <row r="961" spans="30:33" ht="13">
      <c r="AD961" s="3"/>
      <c r="AE961" s="3"/>
      <c r="AF961" s="3"/>
      <c r="AG961" s="3"/>
    </row>
    <row r="962" spans="30:33" ht="13">
      <c r="AD962" s="3"/>
      <c r="AE962" s="3"/>
      <c r="AF962" s="3"/>
      <c r="AG962" s="3"/>
    </row>
    <row r="963" spans="30:33" ht="13">
      <c r="AD963" s="3"/>
      <c r="AE963" s="3"/>
      <c r="AF963" s="3"/>
      <c r="AG963" s="3"/>
    </row>
    <row r="964" spans="30:33" ht="13">
      <c r="AD964" s="3"/>
      <c r="AE964" s="3"/>
      <c r="AF964" s="3"/>
      <c r="AG964" s="3"/>
    </row>
    <row r="965" spans="30:33" ht="13">
      <c r="AD965" s="3"/>
      <c r="AE965" s="3"/>
      <c r="AF965" s="3"/>
      <c r="AG965" s="3"/>
    </row>
    <row r="966" spans="30:33" ht="13">
      <c r="AD966" s="3"/>
      <c r="AE966" s="3"/>
      <c r="AF966" s="3"/>
      <c r="AG966" s="3"/>
    </row>
    <row r="967" spans="30:33" ht="13">
      <c r="AD967" s="3"/>
      <c r="AE967" s="3"/>
      <c r="AF967" s="3"/>
      <c r="AG967" s="3"/>
    </row>
    <row r="968" spans="30:33" ht="13">
      <c r="AD968" s="3"/>
      <c r="AE968" s="3"/>
      <c r="AF968" s="3"/>
      <c r="AG968" s="3"/>
    </row>
    <row r="969" spans="30:33" ht="13">
      <c r="AD969" s="3"/>
      <c r="AE969" s="3"/>
      <c r="AF969" s="3"/>
      <c r="AG969" s="3"/>
    </row>
    <row r="970" spans="30:33" ht="13">
      <c r="AD970" s="3"/>
      <c r="AE970" s="3"/>
      <c r="AF970" s="3"/>
      <c r="AG970" s="3"/>
    </row>
    <row r="971" spans="30:33" ht="13">
      <c r="AD971" s="3"/>
      <c r="AE971" s="3"/>
      <c r="AF971" s="3"/>
      <c r="AG971" s="3"/>
    </row>
    <row r="972" spans="30:33" ht="13">
      <c r="AD972" s="3"/>
      <c r="AE972" s="3"/>
      <c r="AF972" s="3"/>
      <c r="AG972" s="3"/>
    </row>
    <row r="973" spans="30:33" ht="13">
      <c r="AD973" s="3"/>
      <c r="AE973" s="3"/>
      <c r="AF973" s="3"/>
      <c r="AG973" s="3"/>
    </row>
    <row r="974" spans="30:33" ht="13">
      <c r="AD974" s="3"/>
      <c r="AE974" s="3"/>
      <c r="AF974" s="3"/>
      <c r="AG974" s="3"/>
    </row>
    <row r="975" spans="30:33" ht="13">
      <c r="AD975" s="3"/>
      <c r="AE975" s="3"/>
      <c r="AF975" s="3"/>
      <c r="AG975" s="3"/>
    </row>
    <row r="976" spans="30:33" ht="13">
      <c r="AD976" s="3"/>
      <c r="AE976" s="3"/>
      <c r="AF976" s="3"/>
      <c r="AG976" s="3"/>
    </row>
    <row r="977" spans="30:33" ht="13">
      <c r="AD977" s="3"/>
      <c r="AE977" s="3"/>
      <c r="AF977" s="3"/>
      <c r="AG977" s="3"/>
    </row>
    <row r="978" spans="30:33" ht="13">
      <c r="AD978" s="3"/>
      <c r="AE978" s="3"/>
      <c r="AF978" s="3"/>
      <c r="AG978" s="3"/>
    </row>
    <row r="979" spans="30:33" ht="13">
      <c r="AD979" s="3"/>
      <c r="AE979" s="3"/>
      <c r="AF979" s="3"/>
      <c r="AG979" s="3"/>
    </row>
    <row r="980" spans="30:33" ht="13">
      <c r="AD980" s="3"/>
      <c r="AE980" s="3"/>
      <c r="AF980" s="3"/>
      <c r="AG980" s="3"/>
    </row>
    <row r="981" spans="30:33" ht="13">
      <c r="AD981" s="3"/>
      <c r="AE981" s="3"/>
      <c r="AF981" s="3"/>
      <c r="AG981" s="3"/>
    </row>
    <row r="982" spans="30:33" ht="13">
      <c r="AD982" s="3"/>
      <c r="AE982" s="3"/>
      <c r="AF982" s="3"/>
      <c r="AG982" s="3"/>
    </row>
    <row r="983" spans="30:33" ht="13">
      <c r="AD983" s="3"/>
      <c r="AE983" s="3"/>
      <c r="AF983" s="3"/>
      <c r="AG983" s="3"/>
    </row>
    <row r="984" spans="30:33" ht="13">
      <c r="AD984" s="3"/>
      <c r="AE984" s="3"/>
      <c r="AF984" s="3"/>
      <c r="AG984" s="3"/>
    </row>
    <row r="985" spans="30:33" ht="13">
      <c r="AD985" s="3"/>
      <c r="AE985" s="3"/>
      <c r="AF985" s="3"/>
      <c r="AG985" s="3"/>
    </row>
    <row r="986" spans="30:33" ht="13">
      <c r="AD986" s="3"/>
      <c r="AE986" s="3"/>
      <c r="AF986" s="3"/>
      <c r="AG986" s="3"/>
    </row>
    <row r="987" spans="30:33" ht="13">
      <c r="AD987" s="3"/>
      <c r="AE987" s="3"/>
      <c r="AF987" s="3"/>
      <c r="AG987" s="3"/>
    </row>
    <row r="988" spans="30:33" ht="13">
      <c r="AD988" s="3"/>
      <c r="AE988" s="3"/>
      <c r="AF988" s="3"/>
      <c r="AG988" s="3"/>
    </row>
    <row r="989" spans="30:33" ht="13">
      <c r="AD989" s="3"/>
      <c r="AE989" s="3"/>
      <c r="AF989" s="3"/>
      <c r="AG989" s="3"/>
    </row>
    <row r="990" spans="30:33" ht="13">
      <c r="AD990" s="3"/>
      <c r="AE990" s="3"/>
      <c r="AF990" s="3"/>
      <c r="AG990" s="3"/>
    </row>
    <row r="991" spans="30:33" ht="13">
      <c r="AD991" s="3"/>
      <c r="AE991" s="3"/>
      <c r="AF991" s="3"/>
      <c r="AG991" s="3"/>
    </row>
    <row r="992" spans="30:33" ht="13">
      <c r="AD992" s="3"/>
      <c r="AE992" s="3"/>
      <c r="AF992" s="3"/>
      <c r="AG992" s="3"/>
    </row>
    <row r="993" spans="30:33" ht="13">
      <c r="AD993" s="3"/>
      <c r="AE993" s="3"/>
      <c r="AF993" s="3"/>
      <c r="AG993" s="3"/>
    </row>
    <row r="994" spans="30:33" ht="13">
      <c r="AD994" s="3"/>
      <c r="AE994" s="3"/>
      <c r="AF994" s="3"/>
      <c r="AG994" s="3"/>
    </row>
    <row r="995" spans="30:33" ht="13">
      <c r="AD995" s="3"/>
      <c r="AE995" s="3"/>
      <c r="AF995" s="3"/>
      <c r="AG995" s="3"/>
    </row>
    <row r="996" spans="30:33" ht="13">
      <c r="AD996" s="3"/>
      <c r="AE996" s="3"/>
      <c r="AF996" s="3"/>
      <c r="AG996" s="3"/>
    </row>
    <row r="997" spans="30:33" ht="13">
      <c r="AD997" s="3"/>
      <c r="AE997" s="3"/>
      <c r="AF997" s="3"/>
      <c r="AG997" s="3"/>
    </row>
    <row r="998" spans="30:33" ht="13">
      <c r="AD998" s="3"/>
      <c r="AE998" s="3"/>
      <c r="AF998" s="3"/>
      <c r="AG998" s="3"/>
    </row>
    <row r="999" spans="30:33" ht="13">
      <c r="AD999" s="3"/>
      <c r="AE999" s="3"/>
      <c r="AF999" s="3"/>
      <c r="AG999" s="3"/>
    </row>
    <row r="1000" spans="30:33" ht="13">
      <c r="AD1000" s="3"/>
      <c r="AE1000" s="3"/>
      <c r="AF1000" s="3"/>
      <c r="AG1000" s="3"/>
    </row>
    <row r="1001" spans="30:33" ht="13">
      <c r="AD1001" s="3"/>
      <c r="AE1001" s="3"/>
      <c r="AF1001" s="3"/>
      <c r="AG1001" s="3"/>
    </row>
    <row r="1002" spans="30:33" ht="13">
      <c r="AD1002" s="3"/>
      <c r="AE1002" s="3"/>
      <c r="AF1002" s="3"/>
      <c r="AG1002" s="3"/>
    </row>
    <row r="1003" spans="30:33" ht="13">
      <c r="AD1003" s="3"/>
      <c r="AE1003" s="3"/>
      <c r="AF1003" s="3"/>
      <c r="AG1003" s="3"/>
    </row>
    <row r="1004" spans="30:33" ht="13">
      <c r="AD1004" s="3"/>
      <c r="AE1004" s="3"/>
      <c r="AF1004" s="3"/>
      <c r="AG1004" s="3"/>
    </row>
    <row r="1005" spans="30:33" ht="13">
      <c r="AD1005" s="3"/>
      <c r="AE1005" s="3"/>
      <c r="AF1005" s="3"/>
      <c r="AG1005" s="3"/>
    </row>
    <row r="1006" spans="30:33" ht="13">
      <c r="AD1006" s="3"/>
      <c r="AE1006" s="3"/>
      <c r="AF1006" s="3"/>
      <c r="AG1006" s="3"/>
    </row>
    <row r="1007" spans="30:33" ht="13">
      <c r="AD1007" s="3"/>
      <c r="AE1007" s="3"/>
      <c r="AF1007" s="3"/>
      <c r="AG1007" s="3"/>
    </row>
    <row r="1008" spans="30:33" ht="13">
      <c r="AD1008" s="3"/>
      <c r="AE1008" s="3"/>
      <c r="AF1008" s="3"/>
      <c r="AG1008" s="3"/>
    </row>
    <row r="1009" spans="30:33" ht="13">
      <c r="AD1009" s="3"/>
      <c r="AE1009" s="3"/>
      <c r="AF1009" s="3"/>
      <c r="AG1009" s="3"/>
    </row>
    <row r="1010" spans="30:33" ht="13">
      <c r="AD1010" s="3"/>
      <c r="AE1010" s="3"/>
      <c r="AF1010" s="3"/>
      <c r="AG1010" s="3"/>
    </row>
    <row r="1011" spans="30:33" ht="13">
      <c r="AD1011" s="3"/>
      <c r="AE1011" s="3"/>
      <c r="AF1011" s="3"/>
      <c r="AG1011" s="3"/>
    </row>
    <row r="1012" spans="30:33" ht="13">
      <c r="AD1012" s="3"/>
      <c r="AE1012" s="3"/>
      <c r="AF1012" s="3"/>
      <c r="AG1012" s="3"/>
    </row>
    <row r="1013" spans="30:33" ht="13">
      <c r="AD1013" s="3"/>
      <c r="AE1013" s="3"/>
      <c r="AF1013" s="3"/>
      <c r="AG1013" s="3"/>
    </row>
    <row r="1014" spans="30:33" ht="13">
      <c r="AD1014" s="3"/>
      <c r="AE1014" s="3"/>
      <c r="AF1014" s="3"/>
      <c r="AG1014" s="3"/>
    </row>
    <row r="1015" spans="30:33" ht="13">
      <c r="AD1015" s="3"/>
      <c r="AE1015" s="3"/>
      <c r="AF1015" s="3"/>
      <c r="AG1015" s="3"/>
    </row>
    <row r="1016" spans="30:33" ht="13">
      <c r="AD1016" s="3"/>
      <c r="AE1016" s="3"/>
      <c r="AF1016" s="3"/>
      <c r="AG1016" s="3"/>
    </row>
    <row r="1017" spans="30:33" ht="13">
      <c r="AD1017" s="3"/>
      <c r="AE1017" s="3"/>
      <c r="AF1017" s="3"/>
      <c r="AG1017" s="3"/>
    </row>
    <row r="1018" spans="30:33" ht="13">
      <c r="AD1018" s="3"/>
      <c r="AE1018" s="3"/>
      <c r="AF1018" s="3"/>
      <c r="AG1018" s="3"/>
    </row>
    <row r="1019" spans="30:33" ht="13">
      <c r="AD1019" s="3"/>
      <c r="AE1019" s="3"/>
      <c r="AF1019" s="3"/>
      <c r="AG1019" s="3"/>
    </row>
    <row r="1020" spans="30:33" ht="13">
      <c r="AD1020" s="3"/>
      <c r="AE1020" s="3"/>
      <c r="AF1020" s="3"/>
      <c r="AG1020" s="3"/>
    </row>
    <row r="1021" spans="30:33" ht="13">
      <c r="AD1021" s="3"/>
      <c r="AE1021" s="3"/>
      <c r="AF1021" s="3"/>
      <c r="AG1021" s="3"/>
    </row>
    <row r="1022" spans="30:33" ht="13">
      <c r="AD1022" s="3"/>
      <c r="AE1022" s="3"/>
      <c r="AF1022" s="3"/>
      <c r="AG1022" s="3"/>
    </row>
    <row r="1023" spans="30:33" ht="13">
      <c r="AD1023" s="3"/>
      <c r="AE1023" s="3"/>
      <c r="AF1023" s="3"/>
      <c r="AG1023" s="3"/>
    </row>
    <row r="1024" spans="30:33" ht="13">
      <c r="AD1024" s="3"/>
      <c r="AE1024" s="3"/>
      <c r="AF1024" s="3"/>
      <c r="AG1024" s="3"/>
    </row>
    <row r="1025" spans="30:33" ht="13">
      <c r="AD1025" s="3"/>
      <c r="AE1025" s="3"/>
      <c r="AF1025" s="3"/>
      <c r="AG1025" s="3"/>
    </row>
    <row r="1026" spans="30:33" ht="13">
      <c r="AD1026" s="3"/>
      <c r="AE1026" s="3"/>
      <c r="AF1026" s="3"/>
      <c r="AG1026" s="3"/>
    </row>
    <row r="1027" spans="30:33" ht="13">
      <c r="AD1027" s="3"/>
      <c r="AE1027" s="3"/>
      <c r="AF1027" s="3"/>
      <c r="AG1027" s="3"/>
    </row>
  </sheetData>
  <conditionalFormatting sqref="AD55:AO66">
    <cfRule type="colorScale" priority="1">
      <colorScale>
        <cfvo type="min"/>
        <cfvo type="max"/>
        <color theme="7" tint="-0.249977111117893"/>
        <color rgb="FFFFFF00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4688-FEFC-3546-BC4C-848A97CBCA96}">
  <dimension ref="A1:A21"/>
  <sheetViews>
    <sheetView workbookViewId="0">
      <selection activeCell="A21" sqref="A21"/>
    </sheetView>
  </sheetViews>
  <sheetFormatPr baseColWidth="10" defaultRowHeight="16"/>
  <cols>
    <col min="1" max="1" width="116.83203125" style="39" customWidth="1"/>
    <col min="2" max="16384" width="10.83203125" style="40"/>
  </cols>
  <sheetData>
    <row r="1" spans="1:1" ht="17">
      <c r="A1" s="39" t="s">
        <v>56</v>
      </c>
    </row>
    <row r="3" spans="1:1" ht="17">
      <c r="A3" s="39" t="s">
        <v>57</v>
      </c>
    </row>
    <row r="5" spans="1:1" ht="17">
      <c r="A5" s="39" t="s">
        <v>58</v>
      </c>
    </row>
    <row r="6" spans="1:1" ht="17">
      <c r="A6" s="39" t="s">
        <v>59</v>
      </c>
    </row>
    <row r="7" spans="1:1" ht="17">
      <c r="A7" s="39" t="s">
        <v>60</v>
      </c>
    </row>
    <row r="8" spans="1:1" ht="17">
      <c r="A8" s="39" t="s">
        <v>61</v>
      </c>
    </row>
    <row r="9" spans="1:1" ht="17">
      <c r="A9" s="39" t="s">
        <v>62</v>
      </c>
    </row>
    <row r="10" spans="1:1" ht="17">
      <c r="A10" s="39" t="s">
        <v>63</v>
      </c>
    </row>
    <row r="11" spans="1:1">
      <c r="A11" s="41"/>
    </row>
    <row r="12" spans="1:1" ht="17">
      <c r="A12" s="39" t="s">
        <v>64</v>
      </c>
    </row>
    <row r="13" spans="1:1" ht="17">
      <c r="A13" s="39" t="s">
        <v>65</v>
      </c>
    </row>
    <row r="15" spans="1:1" ht="17">
      <c r="A15" s="39" t="s">
        <v>66</v>
      </c>
    </row>
    <row r="16" spans="1:1" ht="17">
      <c r="A16" s="39" t="s">
        <v>67</v>
      </c>
    </row>
    <row r="17" spans="1:1" ht="17">
      <c r="A17" s="39" t="s">
        <v>68</v>
      </c>
    </row>
    <row r="18" spans="1:1" ht="17">
      <c r="A18" s="39" t="s">
        <v>69</v>
      </c>
    </row>
    <row r="19" spans="1:1" ht="17">
      <c r="A19" s="39" t="s">
        <v>70</v>
      </c>
    </row>
    <row r="20" spans="1:1" ht="17">
      <c r="A20" s="39" t="s">
        <v>71</v>
      </c>
    </row>
    <row r="21" spans="1:1" ht="17">
      <c r="A21" s="39" t="s">
        <v>72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6</vt:i4>
      </vt:variant>
    </vt:vector>
  </HeadingPairs>
  <TitlesOfParts>
    <vt:vector size="10" baseType="lpstr">
      <vt:lpstr>small</vt:lpstr>
      <vt:lpstr>medium</vt:lpstr>
      <vt:lpstr>large</vt:lpstr>
      <vt:lpstr>LICENSE</vt:lpstr>
      <vt:lpstr>large!_dk</vt:lpstr>
      <vt:lpstr>medium!_dk</vt:lpstr>
      <vt:lpstr>_dk</vt:lpstr>
      <vt:lpstr>large!DK</vt:lpstr>
      <vt:lpstr>medium!DK</vt:lpstr>
      <vt:lpstr>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Achim Rettinger</cp:lastModifiedBy>
  <dcterms:created xsi:type="dcterms:W3CDTF">2024-11-25T21:05:09Z</dcterms:created>
  <dcterms:modified xsi:type="dcterms:W3CDTF">2024-11-25T21:05:09Z</dcterms:modified>
</cp:coreProperties>
</file>